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668" codeName="{C74EF38D-198D-F2B1-A963-D0AE11F4D96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ort\"/>
    </mc:Choice>
  </mc:AlternateContent>
  <bookViews>
    <workbookView xWindow="0" yWindow="0" windowWidth="14380" windowHeight="3610"/>
  </bookViews>
  <sheets>
    <sheet name="value" sheetId="1" r:id="rId1"/>
    <sheet name="get" sheetId="2" r:id="rId2"/>
  </sheets>
  <definedNames>
    <definedName name="ExternalData_1" localSheetId="1">get!#REF!</definedName>
    <definedName name="ExternalData_4" localSheetId="1">get!#REF!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5" i="1" l="1"/>
  <c r="D27" i="1"/>
  <c r="D26" i="1"/>
  <c r="D25" i="1"/>
  <c r="D23" i="1"/>
  <c r="D22" i="1"/>
  <c r="D18" i="1"/>
  <c r="D16" i="1"/>
  <c r="D17" i="1"/>
  <c r="D15" i="1"/>
  <c r="D28" i="1" l="1"/>
  <c r="D20" i="1"/>
  <c r="D30" i="1" l="1"/>
  <c r="D32" i="1" s="1"/>
  <c r="E58" i="1" s="1"/>
  <c r="F58" i="1" l="1"/>
  <c r="E59" i="1"/>
  <c r="E42" i="1"/>
  <c r="E43" i="1" s="1"/>
  <c r="G58" i="1" l="1"/>
  <c r="F59" i="1"/>
  <c r="F42" i="1"/>
  <c r="G59" i="1" l="1"/>
  <c r="H58" i="1"/>
  <c r="G42" i="1"/>
  <c r="F43" i="1"/>
  <c r="H59" i="1" l="1"/>
  <c r="I58" i="1"/>
  <c r="H42" i="1"/>
  <c r="G43" i="1"/>
  <c r="I59" i="1" l="1"/>
  <c r="C61" i="1" s="1"/>
  <c r="J58" i="1"/>
  <c r="I42" i="1"/>
  <c r="H43" i="1"/>
  <c r="K58" i="1" l="1"/>
  <c r="J59" i="1"/>
  <c r="J42" i="1"/>
  <c r="I43" i="1"/>
  <c r="C45" i="1" s="1"/>
  <c r="K59" i="1" l="1"/>
  <c r="L58" i="1"/>
  <c r="K42" i="1"/>
  <c r="J43" i="1"/>
  <c r="L59" i="1" l="1"/>
  <c r="M58" i="1"/>
  <c r="L42" i="1"/>
  <c r="K43" i="1"/>
  <c r="N58" i="1" l="1"/>
  <c r="M59" i="1"/>
  <c r="M42" i="1"/>
  <c r="L43" i="1"/>
  <c r="O58" i="1" l="1"/>
  <c r="C63" i="1" s="1"/>
  <c r="N59" i="1"/>
  <c r="C62" i="1" s="1"/>
  <c r="N42" i="1"/>
  <c r="M43" i="1"/>
  <c r="C65" i="1" l="1"/>
  <c r="O42" i="1"/>
  <c r="C47" i="1" s="1"/>
  <c r="N43" i="1"/>
  <c r="C46" i="1" s="1"/>
  <c r="C67" i="1" l="1"/>
  <c r="C68" i="1" s="1"/>
  <c r="K4" i="1" s="1"/>
  <c r="C49" i="1"/>
  <c r="C51" i="1" l="1"/>
  <c r="C52" i="1" s="1"/>
  <c r="K3" i="1" s="1"/>
</calcChain>
</file>

<file path=xl/sharedStrings.xml><?xml version="1.0" encoding="utf-8"?>
<sst xmlns="http://schemas.openxmlformats.org/spreadsheetml/2006/main" count="230" uniqueCount="187">
  <si>
    <t>Stock</t>
  </si>
  <si>
    <t>Confirm Key</t>
  </si>
  <si>
    <t>TMD</t>
  </si>
  <si>
    <t>ประเภทงบ</t>
  </si>
  <si>
    <t>งบรวม</t>
  </si>
  <si>
    <t>สถานะของงบ</t>
  </si>
  <si>
    <t>สอบทาน</t>
  </si>
  <si>
    <t>งวดงบการเงิน</t>
  </si>
  <si>
    <t>งบไตรมาส 3/2559</t>
  </si>
  <si>
    <t>งบการเงินฉบับล่าสุด</t>
  </si>
  <si>
    <t xml:space="preserve">หน่วย: ล้านบาท </t>
  </si>
  <si>
    <t>สินทรัพย์</t>
  </si>
  <si>
    <t>เงินสดและรายการเทียบเท่าเงินสด</t>
  </si>
  <si>
    <t>เงินลงทุนระยะสั้น</t>
  </si>
  <si>
    <t>เงินลงทุนเพื่อค้า</t>
  </si>
  <si>
    <t>ลูกหนี้การค้าและลูกหนี้อื่น</t>
  </si>
  <si>
    <t xml:space="preserve">   บุคคลหรือกิจการอื่น</t>
  </si>
  <si>
    <t xml:space="preserve">   หัก ค่าเผื่อหนี้สงสัยจะสูญ</t>
  </si>
  <si>
    <t>สินค้าคงเหลือ</t>
  </si>
  <si>
    <t xml:space="preserve">   สินค้าสำเร็จรูป</t>
  </si>
  <si>
    <t xml:space="preserve">   งานระหว่างทำ</t>
  </si>
  <si>
    <t xml:space="preserve">   วัตถุดิบ อะไหล่และวัสดุสิ้นเปลือง</t>
  </si>
  <si>
    <t>สินทรัพย์หมุนเวียนอื่น</t>
  </si>
  <si>
    <t xml:space="preserve">   สินทรัพย์หมุนเวียนอื่น - อื่น ๆ</t>
  </si>
  <si>
    <t>รวมสินทรัพย์หมุนเวียน</t>
  </si>
  <si>
    <t>เงินลงทุนซึ่งบันทึกโดยวิธีราคาทุน</t>
  </si>
  <si>
    <t xml:space="preserve">   เงินลงทุนเผื่อขาย</t>
  </si>
  <si>
    <t xml:space="preserve">   เงินลงทุนระยะยาว</t>
  </si>
  <si>
    <t>อสังหาริมทรัพย์เพื่อการลงทุน - สุทธิ</t>
  </si>
  <si>
    <t xml:space="preserve">   อสังหาริมทรัพย์เพื่อการลงทุน</t>
  </si>
  <si>
    <t>ที่ดิน อาคาร และอุปกรณ์ - สุทธิ</t>
  </si>
  <si>
    <t xml:space="preserve">   ที่ดิน อาคาร และอุปกรณ์</t>
  </si>
  <si>
    <t xml:space="preserve">   ส่วนที่เพิ่มขึ้นจากการตีราคาที่ดิน อาคาร และอุปกรณ์</t>
  </si>
  <si>
    <t xml:space="preserve">   ส่วนปรับปรุงที่ดิน อาคาร และอุปกรณ์</t>
  </si>
  <si>
    <t xml:space="preserve">   หัก ค่าเสื่อมราคาสะสมที่ดิน อาคาร และอุปกรณ์</t>
  </si>
  <si>
    <t>สินทรัพย์ไม่มีตัวตน - สุทธิ</t>
  </si>
  <si>
    <t xml:space="preserve">   ค่าลิขสิทธิ์ซอฟแวร์</t>
  </si>
  <si>
    <t>สินทรัพย์ไม่หมุนเวียนอื่น</t>
  </si>
  <si>
    <t xml:space="preserve">   สินทรัพย์ไม่หมุนเวียน - อื่น ๆ</t>
  </si>
  <si>
    <t>รวมสินทรัพย์ไม่หมุนเวียน</t>
  </si>
  <si>
    <t>รวมสินทรัพย์</t>
  </si>
  <si>
    <t>หนี้สิน</t>
  </si>
  <si>
    <t>เงินเบิกเกินบัญชีและเงินกู้ยืมระยะสั้นจากสถาบันการเงิน</t>
  </si>
  <si>
    <t>เจ้าหนี้การค้าและเจ้าหนี้อื่น</t>
  </si>
  <si>
    <t>หนี้สินหมุนเวียนอื่น</t>
  </si>
  <si>
    <t xml:space="preserve">   ภาษีเงินได้นิติบุคคลค้างจ่าย</t>
  </si>
  <si>
    <t xml:space="preserve">   หนี้สินหมุนเวียนอื่น - อื่น ๆ</t>
  </si>
  <si>
    <t>รวมหนี้สินหมุนเวียน</t>
  </si>
  <si>
    <t>หนี้สินระยะยาว - สุทธิจากส่วนที่ถึงกำหนดชำระภายในหนึ่งปี</t>
  </si>
  <si>
    <t xml:space="preserve">   เงินกู้ยืมระยะยาว - บุคคลหรือกิจการที่เกี่ยวข้องกัน</t>
  </si>
  <si>
    <t>หนี้สินผลประโยชน์พนักงานภายหลังเลิกจ้าง - สุทธิจากส่วนที่ถึงกำหนดชำระภายในหนึ่งปี</t>
  </si>
  <si>
    <t>หนี้สินภาษีเงินได้รอตัดบัญชี</t>
  </si>
  <si>
    <t>หนี้สินไม่หมุนเวียนอื่น</t>
  </si>
  <si>
    <t xml:space="preserve">   เงินมัดจำ</t>
  </si>
  <si>
    <t>รวมหนี้สินไม่หมุนเวียน</t>
  </si>
  <si>
    <t>รวมหนี้สิน</t>
  </si>
  <si>
    <t>ส่วนของผู้ถือหุ้น</t>
  </si>
  <si>
    <t>ทุนจดทะเบียน</t>
  </si>
  <si>
    <t xml:space="preserve">   หุ้นสามัญ</t>
  </si>
  <si>
    <t>ทุนที่ออกและชำระเต็มมูลค่าแล้ว</t>
  </si>
  <si>
    <t>ส่วนเกิน (ต่ำกว่า) มูลค่าหุ้น</t>
  </si>
  <si>
    <t>กำไร (ขาดทุน) สะสม</t>
  </si>
  <si>
    <t xml:space="preserve">   กำไรสะสม - จัดสรรแล้ว</t>
  </si>
  <si>
    <t xml:space="preserve">      สำรองตามกฎหมาย</t>
  </si>
  <si>
    <t xml:space="preserve">   กำไร (ขาดทุน) สะสม - ยังไม่ได้จัดสรร</t>
  </si>
  <si>
    <t>องค์ประกอบอื่นของส่วนของผู้ถือหุ้น</t>
  </si>
  <si>
    <t xml:space="preserve">   ส่วนเกิน (ต่ำกว่า) ทุนอื่น</t>
  </si>
  <si>
    <t xml:space="preserve">      ส่วนเกินทุนจากการตีราคาสินทรัพย์ถาวร</t>
  </si>
  <si>
    <t xml:space="preserve">      ส่วนเกิน (ต่ำกว่า) ทุนจากการเปลี่ยนแปลงมูลค่ายุติธรรมของเงินลงทุน</t>
  </si>
  <si>
    <t>รวมส่วนของผู้ถือหุ้นของบริษัท</t>
  </si>
  <si>
    <t>ส่วนได้เสียที่ไม่มีอำนาจควบคุม</t>
  </si>
  <si>
    <t>รวมส่วนของผู้ถือหุ้น</t>
  </si>
  <si>
    <t>งบกระแสเงินสด</t>
  </si>
  <si>
    <t>กำไร (ขาดทุน) ก่อนต้นทุนทางการเงิน และ/หรือ ภาษีเงินได้</t>
  </si>
  <si>
    <t>ค่าเสื่อมราคาและค่าตัดจำหน่าย</t>
  </si>
  <si>
    <t xml:space="preserve">   ค่าเสื่อมราคา</t>
  </si>
  <si>
    <t>(กำไร) ขาดทุนที่ยังไม่เกิดขึ้นจากอัตราแลกเปลี่ยน</t>
  </si>
  <si>
    <t>(กำไร) ขาดทุนจากการขายเงินลงทุนอื่น</t>
  </si>
  <si>
    <t>(กำไร) ขาดทุนจากการขายสินทรัพย์ถาวร</t>
  </si>
  <si>
    <t>(กำไร) ขาดทุนจากการเปลี่ยนแปลงมูลค่ายุติธรรมของเงินลงทุน</t>
  </si>
  <si>
    <t>ขาดทุนจากการตัดจำหน่ายสินทรัพย์ถาวร</t>
  </si>
  <si>
    <t>ต้นทุนทางการเงิน</t>
  </si>
  <si>
    <t>รายการปรับปรุงอื่น ๆ</t>
  </si>
  <si>
    <t>เงินสดได้มาจาก (ใช้ไปใน) การดำเนินงานก่อนการเปลี่ยนแปลงในสินทรัพย์และหนี้สินดำเนินงาน</t>
  </si>
  <si>
    <t>สินทรัพย์ดำเนินงาน (เพิ่มขึ้น) ลดลง</t>
  </si>
  <si>
    <t xml:space="preserve">   ลูกหนี้การค้าและลูกหนี้อื่น - บุคคลหรือกิจการอื่น (เพิ่มขึ้น) ลดลง</t>
  </si>
  <si>
    <t xml:space="preserve">   สินค้าคงเหลือ (เพิ่มขึ้น) ลดลง</t>
  </si>
  <si>
    <t xml:space="preserve">   สินทรัพย์หมุนเวียนอื่น (เพิ่มขึ้น) ลดลง</t>
  </si>
  <si>
    <t xml:space="preserve">   สินทรัพย์ไม่หมุนเวียนอื่น (เพิ่มขึ้น) ลดลง</t>
  </si>
  <si>
    <t>หนี้สินดำเนินงาน เพิ่มขึ้น (ลดลง)</t>
  </si>
  <si>
    <t xml:space="preserve">   เจ้าหนี้การค้าและเจ้าหนี้อื่น - บุคคลหรือกิจการอื่น เพิ่มขึ้น (ลดลง)</t>
  </si>
  <si>
    <t xml:space="preserve">   หนี้สินหมุนเวียนอื่น เพิ่มขึ้น (ลดลง)</t>
  </si>
  <si>
    <t xml:space="preserve">   หนี้สินไม่หมุนเวียนอื่น เพิ่มขึ้น (ลดลง)</t>
  </si>
  <si>
    <t>เงินสดรับ (จ่าย) จากการดำเนินงาน</t>
  </si>
  <si>
    <t>รับดอกเบี้ย</t>
  </si>
  <si>
    <t>รับเงินปันผล</t>
  </si>
  <si>
    <t>จ่ายดอกเบี้ย</t>
  </si>
  <si>
    <t>จ่ายภาษีเงินได้</t>
  </si>
  <si>
    <t>เงินสดสุทธิได้มาจาก (ใช้ไปใน) กิจกรรมดำเนินงาน</t>
  </si>
  <si>
    <t>เงินลงทุนระยะสั้น (เพิ่มขึ้น) ลดลง</t>
  </si>
  <si>
    <t>เงินลงทุนระยะยาว (เพิ่มขึ้น) ลดลง</t>
  </si>
  <si>
    <t xml:space="preserve">   เงินลงทุนระยะยาว (เพิ่มขึ้น)</t>
  </si>
  <si>
    <t xml:space="preserve">   เงินลงทุนระยะยาวลดลง</t>
  </si>
  <si>
    <t>เงินลงทุนอื่น (เพิ่มขึ้น) ลดลง</t>
  </si>
  <si>
    <t xml:space="preserve">   เงินลงทุนอื่น (เพิ่มขึ้น)</t>
  </si>
  <si>
    <t>ที่ดิน อาคาร และอุปกรณ์ (เพิ่มขึ้น) ลดลง</t>
  </si>
  <si>
    <t xml:space="preserve">   เงินสดรับจากการขายที่ดิน อาคาร และอุปกรณ์</t>
  </si>
  <si>
    <t xml:space="preserve">   เงินสดจ่ายจากการซื้อที่ดิน อาคาร และอุปกรณ์</t>
  </si>
  <si>
    <t>เงินปันผลรับ</t>
  </si>
  <si>
    <t>ดอกเบี้ยรับ</t>
  </si>
  <si>
    <t>รายการอื่น ๆ</t>
  </si>
  <si>
    <t>เงินสดสุทธิได้มาจาก (ใช้ไปใน) กิจกรรมลงทุน</t>
  </si>
  <si>
    <t>เงินเบิกเกินบัญชีและเงินกู้ยืมระยะสั้น - สถาบันการเงิน เพิ่มขึ้น (ลดลง)</t>
  </si>
  <si>
    <t>เงินกู้ยืมระยะยาวจากสถาบันการเงิน เพิ่มขึ้น (ลดลง)</t>
  </si>
  <si>
    <t xml:space="preserve">   เงินกู้ยืมระยะยาวจากสถาบันการเงินเพิ่มขึ้น</t>
  </si>
  <si>
    <t xml:space="preserve">   เงินกู้ยืมระยะยาวจากสถาบันการเงิน (ลดลง)</t>
  </si>
  <si>
    <t>เงินปันผลจ่าย</t>
  </si>
  <si>
    <t>เงินสดสุทธิได้มาจาก (ใช้ไปใน) กิจกรรมจัดหาเงิน</t>
  </si>
  <si>
    <t>เงินสดและรายการเทียบเท่าเงินสด เพิ่มขึ้น (ลดลง) สุทธิ</t>
  </si>
  <si>
    <t>เงินสดและรายการเทียบเท่าเงินสด ต้นงวด</t>
  </si>
  <si>
    <t>เงินสดและรายการเทียบเท่าเงินสด สิ้นงวด</t>
  </si>
  <si>
    <t>งบกำไรขาดทุน</t>
  </si>
  <si>
    <t>รายได้จากการขายและหรือการให้บริการ</t>
  </si>
  <si>
    <t xml:space="preserve">   รายได้จากการขายสินค้า</t>
  </si>
  <si>
    <t xml:space="preserve">   รายได้จากการให้บริการ</t>
  </si>
  <si>
    <t>รายได้อื่น</t>
  </si>
  <si>
    <t xml:space="preserve">   ดอกเบี้ยรับ</t>
  </si>
  <si>
    <t xml:space="preserve">   เงินปันผลรับ</t>
  </si>
  <si>
    <t xml:space="preserve">   กำไรจากการขายเงินลงทุน</t>
  </si>
  <si>
    <t xml:space="preserve">   กำไรจากการขายสินทรัพย์ถาวร</t>
  </si>
  <si>
    <t xml:space="preserve">   รายได้อื่น - อื่น ๆ</t>
  </si>
  <si>
    <t>รวมรายได้</t>
  </si>
  <si>
    <t>ต้นทุนขายสินค้าและหรือต้นทุนการให้บริการ</t>
  </si>
  <si>
    <t xml:space="preserve">   ต้นทุนขายสินค้า</t>
  </si>
  <si>
    <t xml:space="preserve">   ต้นทุนการให้บริการ</t>
  </si>
  <si>
    <t>ค่าใช้จ่ายในการขายและบริหาร</t>
  </si>
  <si>
    <t xml:space="preserve">   ค่าใช้จ่ายในการขาย</t>
  </si>
  <si>
    <t xml:space="preserve">   ค่าใช้จ่ายในการบริหาร</t>
  </si>
  <si>
    <t>ค่าตอบแทนกรรมการและผู้บริหาร</t>
  </si>
  <si>
    <t xml:space="preserve">   ค่าตอบแทนกรรมการ</t>
  </si>
  <si>
    <t xml:space="preserve">   ค่าตอบแทนผู้บริหาร</t>
  </si>
  <si>
    <t>รวมค่าใช้จ่าย</t>
  </si>
  <si>
    <t>กำไร (ขาดทุน) ก่อนต้นทุนทางการเงิน และภาษีเงินได้</t>
  </si>
  <si>
    <t>ภาษีเงินได้</t>
  </si>
  <si>
    <t>กำไร (ขาดทุน) สุทธิ</t>
  </si>
  <si>
    <t>ส่วนของกำไร (ขาดทุน) ที่เป็นของผู้ถือหุ้นบริษัทใหญ่</t>
  </si>
  <si>
    <t>ส่วนของกำไร (ขาดทุน) ที่เป็นของส่วนได้เสียที่ไม่มีอำนาจควบคุม</t>
  </si>
  <si>
    <t>กำไร (ขาดทุน) ต่อหุ้นขั้นพื้นฐาน (หน่วย : บาท)</t>
  </si>
  <si>
    <t>กำไร (ขาดทุน) ต่อหุ้นปรับลด (หน่วย : บาท)</t>
  </si>
  <si>
    <t>งบกำไรขาดทุนเบ็ดเสร็จอื่น</t>
  </si>
  <si>
    <t>กำไร (ขาดทุน) สำหรับงวด</t>
  </si>
  <si>
    <t>กำไร (ขาดทุน) ที่ยังไม่เกิดขึ้นจากการวัดมูลค่าสินทรัพย์ทางการเงินเผื่อขาย</t>
  </si>
  <si>
    <t>ภาษีเงินได้เกี่ยวกับองค์ประกอบของกำไร (ขาดทุน) เบ็ดเสร็จอื่น</t>
  </si>
  <si>
    <t>กำไร (ขาดทุน) เบ็ดเสร็จรวม สำหรับงวด</t>
  </si>
  <si>
    <t xml:space="preserve">   ส่วนของกำไร (ขาดทุน) เบ็ดเสร็จที่เป็นของผู้ถือหุ้นบริษัทใหญ่</t>
  </si>
  <si>
    <t xml:space="preserve">   ส่วนของกำไร (ขาดทุน) เบ็ดเสร็จที่เป็นของส่วนได้เสียที่ไม่มีอำนาจควบคุม</t>
  </si>
  <si>
    <t>CAPM</t>
  </si>
  <si>
    <t>WACC</t>
  </si>
  <si>
    <t>*FCF = กำไรสุทธิ + ค่าเสื่อม + ดอกเบี้ย(1-t) - fix cap. - working cap</t>
  </si>
  <si>
    <t>*อัตราภาษี  = ภาษี / กำไรก่อนภาษี</t>
  </si>
  <si>
    <t>กำไรก่อนภาษี = Ebit - ต้นทุนทางด้านการเงิน</t>
  </si>
  <si>
    <t>Working Capital</t>
  </si>
  <si>
    <t>FCF 3Q</t>
  </si>
  <si>
    <t>FCF0</t>
  </si>
  <si>
    <t>Share</t>
  </si>
  <si>
    <t>Million Shares</t>
  </si>
  <si>
    <t>DCF Model</t>
  </si>
  <si>
    <t>ปีที่</t>
  </si>
  <si>
    <t>growth rate</t>
  </si>
  <si>
    <t>Future Value FCF</t>
  </si>
  <si>
    <t>Present Value FCF</t>
  </si>
  <si>
    <t>V0 Phase 1</t>
  </si>
  <si>
    <t>V0 Phase 2</t>
  </si>
  <si>
    <t>Terminal Value</t>
  </si>
  <si>
    <t>Firm Value</t>
  </si>
  <si>
    <t>*value = firm value - long term debt</t>
  </si>
  <si>
    <t>บาทต่อหุ้น</t>
  </si>
  <si>
    <t>Value (normal)</t>
  </si>
  <si>
    <t>Normal Case</t>
  </si>
  <si>
    <t>Worst Case</t>
  </si>
  <si>
    <t>ค่าเฉพาะตัวของหุ้น</t>
  </si>
  <si>
    <t>DCF Model (Firm Value)</t>
  </si>
  <si>
    <t>Intrinsic value</t>
  </si>
  <si>
    <t>Intrinsic value with MOS</t>
  </si>
  <si>
    <t>tax</t>
  </si>
  <si>
    <t>Residual Income</t>
  </si>
  <si>
    <t>Residual Income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</si>
</sst>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93" formatCode="0.00_);[Red]\(0.00\)"/>
  </numFmts>
  <fonts count="11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rgb="FF333333"/>
      <name val="Tahoma"/>
      <family val="2"/>
      <scheme val="minor"/>
    </font>
    <font>
      <b/>
      <sz val="11"/>
      <color rgb="FF333333"/>
      <name val="Tahoma"/>
      <family val="2"/>
      <scheme val="minor"/>
    </font>
    <font>
      <u/>
      <sz val="11"/>
      <color theme="10"/>
      <name val="Tahoma"/>
      <family val="2"/>
      <scheme val="minor"/>
    </font>
    <font>
      <sz val="11"/>
      <color rgb="FF00B050"/>
      <name val="Tahoma"/>
      <family val="2"/>
      <scheme val="minor"/>
    </font>
    <font>
      <sz val="11"/>
      <color theme="8"/>
      <name val="Tahoma"/>
      <family val="2"/>
      <scheme val="minor"/>
    </font>
    <font>
      <sz val="11"/>
      <color theme="9" tint="-0.499984740745262"/>
      <name val="Tahoma"/>
      <family val="2"/>
      <scheme val="minor"/>
    </font>
    <font>
      <sz val="11"/>
      <color theme="0" tint="-4.9989318521683403E-2"/>
      <name val="Tahoma"/>
      <family val="2"/>
      <scheme val="minor"/>
    </font>
    <font>
      <sz val="11"/>
      <color theme="4"/>
      <name val="Tahoma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54">
    <xf numFmtId="0" fontId="0" fillId="0" borderId="0" xfId="0"/>
    <xf numFmtId="0" fontId="0" fillId="2" borderId="0" xfId="0" applyFill="1"/>
    <xf numFmtId="0" fontId="4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vertical="center" wrapText="1"/>
    </xf>
    <xf numFmtId="0" fontId="3" fillId="2" borderId="0" xfId="0" applyFont="1" applyFill="1" applyAlignment="1">
      <alignment horizontal="left" vertical="center" wrapText="1"/>
    </xf>
    <xf numFmtId="0" fontId="5" fillId="2" borderId="0" xfId="2" applyFill="1" applyAlignment="1">
      <alignment vertical="center" wrapText="1"/>
    </xf>
    <xf numFmtId="0" fontId="3" fillId="2" borderId="0" xfId="0" applyFont="1" applyFill="1" applyAlignment="1">
      <alignment horizontal="right" vertical="center" wrapText="1"/>
    </xf>
    <xf numFmtId="4" fontId="3" fillId="2" borderId="0" xfId="0" applyNumberFormat="1" applyFont="1" applyFill="1" applyAlignment="1">
      <alignment horizontal="right" vertical="center" wrapText="1"/>
    </xf>
    <xf numFmtId="0" fontId="2" fillId="2" borderId="0" xfId="0" applyFont="1" applyFill="1" applyAlignment="1">
      <alignment horizontal="center" vertical="center"/>
    </xf>
    <xf numFmtId="0" fontId="0" fillId="0" borderId="0" xfId="0"/>
    <xf numFmtId="0" fontId="4" fillId="2" borderId="0" xfId="0" applyFont="1" applyFill="1" applyAlignment="1">
      <alignment horizontal="left" vertical="center" wrapText="1"/>
    </xf>
    <xf numFmtId="0" fontId="0" fillId="4" borderId="1" xfId="0" applyFill="1" applyBorder="1" applyAlignment="1"/>
    <xf numFmtId="0" fontId="0" fillId="2" borderId="1" xfId="0" applyFill="1" applyBorder="1" applyAlignment="1"/>
    <xf numFmtId="0" fontId="6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2" borderId="1" xfId="0" applyFont="1" applyFill="1" applyBorder="1" applyAlignment="1">
      <alignment horizontal="left" vertical="center"/>
    </xf>
    <xf numFmtId="0" fontId="0" fillId="2" borderId="1" xfId="0" quotePrefix="1" applyFill="1" applyBorder="1" applyAlignment="1"/>
    <xf numFmtId="9" fontId="0" fillId="2" borderId="1" xfId="1" applyFont="1" applyFill="1" applyBorder="1" applyAlignment="1"/>
    <xf numFmtId="0" fontId="0" fillId="6" borderId="1" xfId="0" applyFill="1" applyBorder="1" applyAlignment="1"/>
    <xf numFmtId="0" fontId="0" fillId="7" borderId="1" xfId="0" applyFill="1" applyBorder="1" applyAlignment="1"/>
    <xf numFmtId="193" fontId="0" fillId="2" borderId="1" xfId="0" applyNumberFormat="1" applyFill="1" applyBorder="1" applyAlignment="1"/>
    <xf numFmtId="9" fontId="0" fillId="7" borderId="1" xfId="0" applyNumberFormat="1" applyFill="1" applyBorder="1" applyAlignment="1"/>
    <xf numFmtId="9" fontId="0" fillId="6" borderId="1" xfId="0" applyNumberFormat="1" applyFill="1" applyBorder="1" applyAlignment="1"/>
    <xf numFmtId="0" fontId="0" fillId="3" borderId="1" xfId="0" applyFill="1" applyBorder="1" applyAlignment="1"/>
    <xf numFmtId="193" fontId="0" fillId="7" borderId="1" xfId="0" applyNumberFormat="1" applyFill="1" applyBorder="1" applyAlignment="1"/>
    <xf numFmtId="193" fontId="0" fillId="6" borderId="1" xfId="0" applyNumberFormat="1" applyFill="1" applyBorder="1" applyAlignment="1"/>
    <xf numFmtId="9" fontId="0" fillId="3" borderId="1" xfId="0" applyNumberFormat="1" applyFill="1" applyBorder="1" applyAlignment="1"/>
    <xf numFmtId="2" fontId="0" fillId="7" borderId="1" xfId="0" applyNumberFormat="1" applyFill="1" applyBorder="1" applyAlignment="1"/>
    <xf numFmtId="2" fontId="0" fillId="6" borderId="1" xfId="0" applyNumberFormat="1" applyFill="1" applyBorder="1" applyAlignment="1"/>
    <xf numFmtId="2" fontId="0" fillId="8" borderId="1" xfId="0" applyNumberFormat="1" applyFill="1" applyBorder="1" applyAlignment="1"/>
    <xf numFmtId="193" fontId="6" fillId="2" borderId="1" xfId="0" applyNumberFormat="1" applyFont="1" applyFill="1" applyBorder="1" applyAlignment="1"/>
    <xf numFmtId="0" fontId="0" fillId="9" borderId="1" xfId="0" applyFill="1" applyBorder="1" applyAlignment="1"/>
    <xf numFmtId="193" fontId="6" fillId="9" borderId="1" xfId="0" applyNumberFormat="1" applyFont="1" applyFill="1" applyBorder="1" applyAlignment="1"/>
    <xf numFmtId="0" fontId="0" fillId="2" borderId="3" xfId="0" applyFill="1" applyBorder="1" applyAlignment="1"/>
    <xf numFmtId="2" fontId="6" fillId="9" borderId="2" xfId="0" applyNumberFormat="1" applyFont="1" applyFill="1" applyBorder="1" applyAlignment="1"/>
    <xf numFmtId="0" fontId="0" fillId="10" borderId="1" xfId="0" applyFill="1" applyBorder="1" applyAlignment="1"/>
    <xf numFmtId="10" fontId="0" fillId="10" borderId="1" xfId="0" applyNumberFormat="1" applyFill="1" applyBorder="1" applyAlignment="1"/>
    <xf numFmtId="0" fontId="0" fillId="2" borderId="4" xfId="0" applyFill="1" applyBorder="1" applyAlignment="1"/>
    <xf numFmtId="0" fontId="0" fillId="2" borderId="5" xfId="0" applyFill="1" applyBorder="1" applyAlignment="1"/>
    <xf numFmtId="0" fontId="8" fillId="2" borderId="1" xfId="0" applyFont="1" applyFill="1" applyBorder="1" applyAlignment="1"/>
    <xf numFmtId="0" fontId="9" fillId="5" borderId="1" xfId="0" applyFont="1" applyFill="1" applyBorder="1" applyAlignment="1">
      <alignment horizontal="left" vertical="center"/>
    </xf>
    <xf numFmtId="0" fontId="0" fillId="11" borderId="0" xfId="0" applyFill="1" applyBorder="1" applyAlignment="1"/>
    <xf numFmtId="2" fontId="7" fillId="11" borderId="0" xfId="0" applyNumberFormat="1" applyFont="1" applyFill="1" applyBorder="1" applyAlignment="1"/>
    <xf numFmtId="0" fontId="7" fillId="11" borderId="6" xfId="0" applyFont="1" applyFill="1" applyBorder="1" applyAlignment="1"/>
    <xf numFmtId="0" fontId="0" fillId="11" borderId="7" xfId="0" applyFill="1" applyBorder="1" applyAlignment="1"/>
    <xf numFmtId="0" fontId="0" fillId="11" borderId="8" xfId="0" applyFill="1" applyBorder="1" applyAlignment="1"/>
    <xf numFmtId="0" fontId="0" fillId="11" borderId="9" xfId="0" applyFill="1" applyBorder="1" applyAlignment="1"/>
    <xf numFmtId="0" fontId="0" fillId="11" borderId="10" xfId="0" applyFill="1" applyBorder="1" applyAlignment="1"/>
    <xf numFmtId="0" fontId="0" fillId="11" borderId="11" xfId="0" applyFill="1" applyBorder="1" applyAlignment="1"/>
    <xf numFmtId="0" fontId="0" fillId="11" borderId="12" xfId="0" applyFill="1" applyBorder="1" applyAlignment="1"/>
    <xf numFmtId="2" fontId="7" fillId="11" borderId="12" xfId="0" applyNumberFormat="1" applyFont="1" applyFill="1" applyBorder="1" applyAlignment="1"/>
    <xf numFmtId="0" fontId="0" fillId="11" borderId="13" xfId="0" applyFill="1" applyBorder="1" applyAlignment="1"/>
    <xf numFmtId="0" fontId="0" fillId="11" borderId="6" xfId="0" applyFill="1" applyBorder="1" applyAlignment="1"/>
    <xf numFmtId="0" fontId="10" fillId="11" borderId="0" xfId="0" applyFont="1" applyFill="1" applyBorder="1" applyAlignment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635000</xdr:colOff>
          <xdr:row>0</xdr:row>
          <xdr:rowOff>165100</xdr:rowOff>
        </xdr:from>
        <xdr:to>
          <xdr:col>6</xdr:col>
          <xdr:colOff>349250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3E99D9D-42FB-4EA6-BBF6-49A33BE38D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set.or.th/dat/news/201611/16085633.zip" TargetMode="External"/><Relationship Id="rId2" Type="http://schemas.openxmlformats.org/officeDocument/2006/relationships/hyperlink" Target="http://www.set.or.th/dat/news/201611/16085633.zip" TargetMode="External"/><Relationship Id="rId1" Type="http://schemas.openxmlformats.org/officeDocument/2006/relationships/hyperlink" Target="http://www.set.or.th/dat/news/201611/16085633.zi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71"/>
  <sheetViews>
    <sheetView tabSelected="1" zoomScale="70" zoomScaleNormal="70" workbookViewId="0">
      <selection activeCell="I6" sqref="I6"/>
    </sheetView>
  </sheetViews>
  <sheetFormatPr defaultRowHeight="14" x14ac:dyDescent="0.3"/>
  <cols>
    <col min="1" max="1" width="18.58203125" style="12" customWidth="1"/>
    <col min="2" max="2" width="38.5" style="12" customWidth="1"/>
    <col min="3" max="3" width="18.1640625" style="12" customWidth="1"/>
    <col min="4" max="4" width="8.6640625" style="12"/>
    <col min="5" max="14" width="10.4140625" style="12" bestFit="1" customWidth="1"/>
    <col min="15" max="15" width="9.33203125" style="12" bestFit="1" customWidth="1"/>
    <col min="16" max="16384" width="8.6640625" style="12"/>
  </cols>
  <sheetData>
    <row r="1" spans="2:14" x14ac:dyDescent="0.3">
      <c r="H1" s="37"/>
      <c r="I1" s="43" t="s">
        <v>181</v>
      </c>
      <c r="J1" s="44"/>
      <c r="K1" s="44"/>
      <c r="L1" s="44"/>
      <c r="M1" s="45"/>
      <c r="N1" s="38"/>
    </row>
    <row r="2" spans="2:14" x14ac:dyDescent="0.3">
      <c r="B2" s="11" t="s">
        <v>0</v>
      </c>
      <c r="C2" s="11" t="s">
        <v>1</v>
      </c>
      <c r="H2" s="37"/>
      <c r="I2" s="46"/>
      <c r="J2" s="41"/>
      <c r="K2" s="41"/>
      <c r="L2" s="41"/>
      <c r="M2" s="47"/>
      <c r="N2" s="38"/>
    </row>
    <row r="3" spans="2:14" x14ac:dyDescent="0.3">
      <c r="B3" s="13" t="s">
        <v>2</v>
      </c>
      <c r="C3" s="14"/>
      <c r="H3" s="37"/>
      <c r="I3" s="46" t="s">
        <v>182</v>
      </c>
      <c r="J3" s="41"/>
      <c r="K3" s="42">
        <f ca="1">C52</f>
        <v>61.150952970537872</v>
      </c>
      <c r="L3" s="41"/>
      <c r="M3" s="47"/>
      <c r="N3" s="38"/>
    </row>
    <row r="4" spans="2:14" x14ac:dyDescent="0.3">
      <c r="H4" s="37"/>
      <c r="I4" s="48" t="s">
        <v>183</v>
      </c>
      <c r="J4" s="49"/>
      <c r="K4" s="50">
        <f ca="1">C68</f>
        <v>37.585871216681689</v>
      </c>
      <c r="L4" s="49"/>
      <c r="M4" s="51"/>
      <c r="N4" s="38"/>
    </row>
    <row r="5" spans="2:14" x14ac:dyDescent="0.3">
      <c r="B5" s="39" t="s">
        <v>180</v>
      </c>
      <c r="H5" s="37"/>
      <c r="I5" s="53" t="s">
        <v>186</v>
      </c>
      <c r="J5" s="41"/>
      <c r="K5" s="41"/>
      <c r="L5" s="41"/>
      <c r="M5" s="41"/>
      <c r="N5" s="38"/>
    </row>
    <row r="6" spans="2:14" x14ac:dyDescent="0.3">
      <c r="B6" s="35" t="s">
        <v>156</v>
      </c>
      <c r="C6" s="36">
        <v>5.0700000000000002E-2</v>
      </c>
      <c r="H6" s="37"/>
      <c r="I6" s="52"/>
      <c r="J6" s="44"/>
      <c r="K6" s="44"/>
      <c r="L6" s="44"/>
      <c r="M6" s="45"/>
      <c r="N6" s="38"/>
    </row>
    <row r="7" spans="2:14" x14ac:dyDescent="0.3">
      <c r="B7" s="35" t="s">
        <v>157</v>
      </c>
      <c r="C7" s="36">
        <v>5.0799999999999998E-2</v>
      </c>
      <c r="H7" s="37"/>
      <c r="I7" s="46"/>
      <c r="J7" s="41"/>
      <c r="K7" s="41"/>
      <c r="L7" s="41"/>
      <c r="M7" s="47"/>
      <c r="N7" s="38"/>
    </row>
    <row r="8" spans="2:14" x14ac:dyDescent="0.3">
      <c r="B8" s="35" t="s">
        <v>164</v>
      </c>
      <c r="C8" s="35">
        <v>150</v>
      </c>
      <c r="D8" s="12" t="s">
        <v>165</v>
      </c>
      <c r="H8" s="37"/>
      <c r="I8" s="46"/>
      <c r="J8" s="41"/>
      <c r="K8" s="41"/>
      <c r="L8" s="41"/>
      <c r="M8" s="47"/>
      <c r="N8" s="38"/>
    </row>
    <row r="9" spans="2:14" x14ac:dyDescent="0.3">
      <c r="H9" s="37"/>
      <c r="I9" s="48"/>
      <c r="J9" s="49"/>
      <c r="K9" s="49"/>
      <c r="L9" s="49"/>
      <c r="M9" s="51"/>
      <c r="N9" s="38"/>
    </row>
    <row r="10" spans="2:14" x14ac:dyDescent="0.3">
      <c r="I10" s="33"/>
      <c r="J10" s="33"/>
      <c r="K10" s="33"/>
      <c r="L10" s="33"/>
      <c r="M10" s="33"/>
    </row>
    <row r="15" spans="2:14" ht="44" customHeight="1" x14ac:dyDescent="0.3">
      <c r="B15" s="15" t="s">
        <v>142</v>
      </c>
      <c r="D15" s="12">
        <f ca="1">VLOOKUP(B15,INDIRECT("get!B:C"),2,FALSE)</f>
        <v>270.33999999999997</v>
      </c>
    </row>
    <row r="16" spans="2:14" x14ac:dyDescent="0.3">
      <c r="B16" s="15" t="s">
        <v>81</v>
      </c>
      <c r="D16" s="12">
        <f t="shared" ref="D16:D41" ca="1" si="0">VLOOKUP(B16,INDIRECT("get!B:C"),2,FALSE)</f>
        <v>1.51</v>
      </c>
    </row>
    <row r="17" spans="2:10" x14ac:dyDescent="0.3">
      <c r="B17" s="15" t="s">
        <v>143</v>
      </c>
      <c r="D17" s="12">
        <f t="shared" ca="1" si="0"/>
        <v>11.67</v>
      </c>
    </row>
    <row r="18" spans="2:10" x14ac:dyDescent="0.3">
      <c r="B18" s="15" t="s">
        <v>144</v>
      </c>
      <c r="D18" s="12">
        <f ca="1">VLOOKUP(B18,INDIRECT("get!B:C"),2,FALSE)</f>
        <v>257.14999999999998</v>
      </c>
      <c r="F18" s="16" t="s">
        <v>158</v>
      </c>
    </row>
    <row r="19" spans="2:10" x14ac:dyDescent="0.3">
      <c r="B19" s="15"/>
    </row>
    <row r="20" spans="2:10" x14ac:dyDescent="0.3">
      <c r="B20" s="15" t="s">
        <v>184</v>
      </c>
      <c r="C20" s="17"/>
      <c r="D20" s="17">
        <f ca="1">D17/(D15-D16)</f>
        <v>4.3410333668117397E-2</v>
      </c>
      <c r="F20" s="12" t="s">
        <v>159</v>
      </c>
      <c r="J20" s="12" t="s">
        <v>160</v>
      </c>
    </row>
    <row r="21" spans="2:10" x14ac:dyDescent="0.3">
      <c r="B21" s="15"/>
    </row>
    <row r="22" spans="2:10" x14ac:dyDescent="0.3">
      <c r="B22" s="15" t="s">
        <v>75</v>
      </c>
      <c r="D22" s="12">
        <f ca="1">VLOOKUP(B22,INDIRECT("get!B:C"),2,FALSE)</f>
        <v>82.14</v>
      </c>
    </row>
    <row r="23" spans="2:10" x14ac:dyDescent="0.3">
      <c r="B23" s="15" t="s">
        <v>107</v>
      </c>
      <c r="D23" s="20">
        <f ca="1">VLOOKUP(B23,INDIRECT("get!B:C"),2,FALSE)</f>
        <v>-100.98</v>
      </c>
    </row>
    <row r="24" spans="2:10" x14ac:dyDescent="0.3">
      <c r="B24" s="15"/>
    </row>
    <row r="25" spans="2:10" x14ac:dyDescent="0.3">
      <c r="B25" s="15" t="s">
        <v>85</v>
      </c>
      <c r="D25" s="20">
        <f t="shared" ref="D24:D27" ca="1" si="1">VLOOKUP(B25,INDIRECT("get!B:C"),2,FALSE)</f>
        <v>-4.1100000000000003</v>
      </c>
    </row>
    <row r="26" spans="2:10" x14ac:dyDescent="0.3">
      <c r="B26" s="15" t="s">
        <v>86</v>
      </c>
      <c r="D26" s="20">
        <f t="shared" ca="1" si="1"/>
        <v>-46.74</v>
      </c>
    </row>
    <row r="27" spans="2:10" x14ac:dyDescent="0.3">
      <c r="B27" s="15" t="s">
        <v>90</v>
      </c>
      <c r="D27" s="12">
        <f t="shared" ca="1" si="1"/>
        <v>50.6</v>
      </c>
    </row>
    <row r="28" spans="2:10" x14ac:dyDescent="0.3">
      <c r="B28" s="15" t="s">
        <v>161</v>
      </c>
      <c r="D28" s="20">
        <f ca="1">SUM(D25:D27)</f>
        <v>-0.25</v>
      </c>
    </row>
    <row r="29" spans="2:10" x14ac:dyDescent="0.3">
      <c r="B29" s="15"/>
    </row>
    <row r="30" spans="2:10" x14ac:dyDescent="0.3">
      <c r="B30" s="15" t="s">
        <v>162</v>
      </c>
      <c r="D30" s="12">
        <f ca="1">D18+D22+D16*(1-D20)+D23+D28</f>
        <v>239.50445039616108</v>
      </c>
    </row>
    <row r="31" spans="2:10" x14ac:dyDescent="0.3">
      <c r="B31" s="15"/>
    </row>
    <row r="32" spans="2:10" x14ac:dyDescent="0.3">
      <c r="B32" s="15" t="s">
        <v>163</v>
      </c>
      <c r="D32" s="11">
        <f ca="1">D30*(4/3)</f>
        <v>319.33926719488142</v>
      </c>
    </row>
    <row r="33" spans="1:15" x14ac:dyDescent="0.3">
      <c r="B33" s="15"/>
    </row>
    <row r="34" spans="1:15" x14ac:dyDescent="0.3">
      <c r="B34" s="15"/>
    </row>
    <row r="35" spans="1:15" x14ac:dyDescent="0.3">
      <c r="B35" s="4" t="s">
        <v>54</v>
      </c>
      <c r="D35" s="20">
        <f ca="1">VLOOKUP(B35,INDIRECT("get!B:C"),2,FALSE)</f>
        <v>104.24</v>
      </c>
    </row>
    <row r="36" spans="1:15" x14ac:dyDescent="0.3">
      <c r="B36" s="15"/>
    </row>
    <row r="37" spans="1:15" x14ac:dyDescent="0.3">
      <c r="B37" s="15"/>
    </row>
    <row r="38" spans="1:15" x14ac:dyDescent="0.3">
      <c r="B38" s="15"/>
    </row>
    <row r="39" spans="1:15" x14ac:dyDescent="0.3">
      <c r="A39" s="19" t="s">
        <v>166</v>
      </c>
      <c r="B39" s="40" t="s">
        <v>178</v>
      </c>
    </row>
    <row r="40" spans="1:15" x14ac:dyDescent="0.3">
      <c r="B40" s="15" t="s">
        <v>167</v>
      </c>
      <c r="E40" s="19">
        <v>1</v>
      </c>
      <c r="F40" s="19">
        <v>2</v>
      </c>
      <c r="G40" s="19">
        <v>3</v>
      </c>
      <c r="H40" s="19">
        <v>4</v>
      </c>
      <c r="I40" s="19">
        <v>5</v>
      </c>
      <c r="J40" s="18">
        <v>6</v>
      </c>
      <c r="K40" s="18">
        <v>7</v>
      </c>
      <c r="L40" s="18">
        <v>8</v>
      </c>
      <c r="M40" s="18">
        <v>9</v>
      </c>
      <c r="N40" s="18">
        <v>10</v>
      </c>
      <c r="O40" s="23">
        <v>11</v>
      </c>
    </row>
    <row r="41" spans="1:15" x14ac:dyDescent="0.3">
      <c r="B41" s="15" t="s">
        <v>168</v>
      </c>
      <c r="E41" s="21">
        <v>0.04</v>
      </c>
      <c r="F41" s="21">
        <v>0.04</v>
      </c>
      <c r="G41" s="21">
        <v>0.04</v>
      </c>
      <c r="H41" s="21">
        <v>0.04</v>
      </c>
      <c r="I41" s="21">
        <v>0.04</v>
      </c>
      <c r="J41" s="22">
        <v>0.03</v>
      </c>
      <c r="K41" s="22">
        <v>0.02</v>
      </c>
      <c r="L41" s="22">
        <v>0.01</v>
      </c>
      <c r="M41" s="22">
        <v>0.01</v>
      </c>
      <c r="N41" s="22">
        <v>0.01</v>
      </c>
      <c r="O41" s="26">
        <v>0.01</v>
      </c>
    </row>
    <row r="42" spans="1:15" x14ac:dyDescent="0.3">
      <c r="B42" s="12" t="s">
        <v>169</v>
      </c>
      <c r="E42" s="27">
        <f ca="1">$D$32*(1+E41)</f>
        <v>332.11283788267667</v>
      </c>
      <c r="F42" s="27">
        <f ca="1">E42*(1+F41)</f>
        <v>345.39735139798375</v>
      </c>
      <c r="G42" s="27">
        <f ca="1">F42*(1+G41)</f>
        <v>359.21324545390314</v>
      </c>
      <c r="H42" s="27">
        <f t="shared" ref="H42:O42" ca="1" si="2">G42*(1+H41)</f>
        <v>373.5817752720593</v>
      </c>
      <c r="I42" s="27">
        <f t="shared" ca="1" si="2"/>
        <v>388.52504628294167</v>
      </c>
      <c r="J42" s="28">
        <f t="shared" ca="1" si="2"/>
        <v>400.18079767142996</v>
      </c>
      <c r="K42" s="28">
        <f t="shared" ca="1" si="2"/>
        <v>408.18441362485856</v>
      </c>
      <c r="L42" s="28">
        <f t="shared" ca="1" si="2"/>
        <v>412.26625776110717</v>
      </c>
      <c r="M42" s="28">
        <f t="shared" ca="1" si="2"/>
        <v>416.38892033871826</v>
      </c>
      <c r="N42" s="28">
        <f t="shared" ca="1" si="2"/>
        <v>420.55280954210548</v>
      </c>
      <c r="O42" s="29">
        <f t="shared" ca="1" si="2"/>
        <v>424.75833763752655</v>
      </c>
    </row>
    <row r="43" spans="1:15" x14ac:dyDescent="0.3">
      <c r="B43" s="12" t="s">
        <v>170</v>
      </c>
      <c r="E43" s="27">
        <f ca="1">E42/(1+$C$7)^E40</f>
        <v>316.05713540414604</v>
      </c>
      <c r="F43" s="27">
        <f t="shared" ref="F43:N43" ca="1" si="3">F42/(1+$C$7)^F40</f>
        <v>312.80873698164442</v>
      </c>
      <c r="G43" s="27">
        <f t="shared" ca="1" si="3"/>
        <v>309.59372521974706</v>
      </c>
      <c r="H43" s="27">
        <f t="shared" ca="1" si="3"/>
        <v>306.41175697424541</v>
      </c>
      <c r="I43" s="27">
        <f t="shared" ca="1" si="3"/>
        <v>303.26249262772666</v>
      </c>
      <c r="J43" s="28">
        <f t="shared" ca="1" si="3"/>
        <v>297.25958070666024</v>
      </c>
      <c r="K43" s="28">
        <f t="shared" ca="1" si="3"/>
        <v>288.54660479710071</v>
      </c>
      <c r="L43" s="28">
        <f t="shared" ca="1" si="3"/>
        <v>277.34304419972574</v>
      </c>
      <c r="M43" s="28">
        <f t="shared" ca="1" si="3"/>
        <v>266.57449052314718</v>
      </c>
      <c r="N43" s="28">
        <f t="shared" ca="1" si="3"/>
        <v>256.22405351006728</v>
      </c>
      <c r="O43" s="23"/>
    </row>
    <row r="45" spans="1:15" x14ac:dyDescent="0.3">
      <c r="B45" s="12" t="s">
        <v>171</v>
      </c>
      <c r="C45" s="24">
        <f ca="1">SUM(E43:I43)</f>
        <v>1548.1338472075097</v>
      </c>
    </row>
    <row r="46" spans="1:15" x14ac:dyDescent="0.3">
      <c r="B46" s="12" t="s">
        <v>172</v>
      </c>
      <c r="C46" s="25">
        <f ca="1">SUM(J43:N43)</f>
        <v>1385.9477737367013</v>
      </c>
    </row>
    <row r="47" spans="1:15" x14ac:dyDescent="0.3">
      <c r="B47" s="12" t="s">
        <v>173</v>
      </c>
      <c r="C47" s="20">
        <f ca="1">O42/($C$7-O41)/(1+$C$7)^N40</f>
        <v>6342.801324636469</v>
      </c>
    </row>
    <row r="48" spans="1:15" x14ac:dyDescent="0.3">
      <c r="C48" s="20"/>
    </row>
    <row r="49" spans="1:15" x14ac:dyDescent="0.3">
      <c r="B49" s="12" t="s">
        <v>174</v>
      </c>
      <c r="C49" s="30">
        <f ca="1">SUM(C45:C47)</f>
        <v>9276.8829455806808</v>
      </c>
    </row>
    <row r="51" spans="1:15" x14ac:dyDescent="0.3">
      <c r="B51" s="31" t="s">
        <v>177</v>
      </c>
      <c r="C51" s="32">
        <f ca="1">C49-$D$35</f>
        <v>9172.642945580681</v>
      </c>
      <c r="D51" s="12" t="s">
        <v>175</v>
      </c>
    </row>
    <row r="52" spans="1:15" ht="14.5" thickBot="1" x14ac:dyDescent="0.35">
      <c r="B52" s="31"/>
      <c r="C52" s="34">
        <f ca="1">C51/$C$8</f>
        <v>61.150952970537872</v>
      </c>
      <c r="D52" s="12" t="s">
        <v>176</v>
      </c>
    </row>
    <row r="53" spans="1:15" ht="14.5" thickTop="1" x14ac:dyDescent="0.3">
      <c r="C53" s="33"/>
    </row>
    <row r="55" spans="1:15" x14ac:dyDescent="0.3">
      <c r="A55" s="19" t="s">
        <v>166</v>
      </c>
      <c r="B55" s="40" t="s">
        <v>179</v>
      </c>
    </row>
    <row r="56" spans="1:15" x14ac:dyDescent="0.3">
      <c r="B56" s="15" t="s">
        <v>167</v>
      </c>
      <c r="E56" s="19">
        <v>1</v>
      </c>
      <c r="F56" s="19">
        <v>2</v>
      </c>
      <c r="G56" s="19">
        <v>3</v>
      </c>
      <c r="H56" s="19">
        <v>4</v>
      </c>
      <c r="I56" s="19">
        <v>5</v>
      </c>
      <c r="J56" s="18">
        <v>6</v>
      </c>
      <c r="K56" s="18">
        <v>7</v>
      </c>
      <c r="L56" s="18">
        <v>8</v>
      </c>
      <c r="M56" s="18">
        <v>9</v>
      </c>
      <c r="N56" s="18">
        <v>10</v>
      </c>
      <c r="O56" s="23">
        <v>11</v>
      </c>
    </row>
    <row r="57" spans="1:15" x14ac:dyDescent="0.3">
      <c r="B57" s="15" t="s">
        <v>168</v>
      </c>
      <c r="E57" s="21">
        <v>0.02</v>
      </c>
      <c r="F57" s="21">
        <v>0.02</v>
      </c>
      <c r="G57" s="21">
        <v>0.02</v>
      </c>
      <c r="H57" s="21">
        <v>0.02</v>
      </c>
      <c r="I57" s="21">
        <v>0.02</v>
      </c>
      <c r="J57" s="22">
        <v>0.01</v>
      </c>
      <c r="K57" s="22">
        <v>0.01</v>
      </c>
      <c r="L57" s="22">
        <v>0.01</v>
      </c>
      <c r="M57" s="22">
        <v>0</v>
      </c>
      <c r="N57" s="22">
        <v>0</v>
      </c>
      <c r="O57" s="26">
        <v>-0.02</v>
      </c>
    </row>
    <row r="58" spans="1:15" x14ac:dyDescent="0.3">
      <c r="B58" s="12" t="s">
        <v>169</v>
      </c>
      <c r="E58" s="27">
        <f ca="1">$D$32*(1+E57)</f>
        <v>325.72605253877907</v>
      </c>
      <c r="F58" s="27">
        <f ca="1">E58*(1+F57)</f>
        <v>332.24057358955469</v>
      </c>
      <c r="G58" s="27">
        <f ca="1">F58*(1+G57)</f>
        <v>338.8853850613458</v>
      </c>
      <c r="H58" s="27">
        <f t="shared" ref="H58" ca="1" si="4">G58*(1+H57)</f>
        <v>345.66309276257272</v>
      </c>
      <c r="I58" s="27">
        <f t="shared" ref="I58" ca="1" si="5">H58*(1+I57)</f>
        <v>352.57635461782417</v>
      </c>
      <c r="J58" s="28">
        <f t="shared" ref="J58" ca="1" si="6">I58*(1+J57)</f>
        <v>356.10211816400243</v>
      </c>
      <c r="K58" s="28">
        <f t="shared" ref="K58" ca="1" si="7">J58*(1+K57)</f>
        <v>359.66313934564243</v>
      </c>
      <c r="L58" s="28">
        <f t="shared" ref="L58" ca="1" si="8">K58*(1+L57)</f>
        <v>363.25977073909888</v>
      </c>
      <c r="M58" s="28">
        <f t="shared" ref="M58" ca="1" si="9">L58*(1+M57)</f>
        <v>363.25977073909888</v>
      </c>
      <c r="N58" s="28">
        <f t="shared" ref="N58" ca="1" si="10">M58*(1+N57)</f>
        <v>363.25977073909888</v>
      </c>
      <c r="O58" s="29">
        <f t="shared" ref="O58" ca="1" si="11">N58*(1+O57)</f>
        <v>355.99457532431688</v>
      </c>
    </row>
    <row r="59" spans="1:15" x14ac:dyDescent="0.3">
      <c r="B59" s="12" t="s">
        <v>170</v>
      </c>
      <c r="E59" s="27">
        <f ca="1">E58/(1+$C$7)^E56</f>
        <v>309.97911356945099</v>
      </c>
      <c r="F59" s="27">
        <f t="shared" ref="F59" ca="1" si="12">F58/(1+$C$7)^F56</f>
        <v>300.89331541762471</v>
      </c>
      <c r="G59" s="27">
        <f t="shared" ref="G59" ca="1" si="13">G58/(1+$C$7)^G56</f>
        <v>292.07383110580247</v>
      </c>
      <c r="H59" s="27">
        <f t="shared" ref="H59" ca="1" si="14">H58/(1+$C$7)^H56</f>
        <v>283.51285470871579</v>
      </c>
      <c r="I59" s="27">
        <f t="shared" ref="I59" ca="1" si="15">I58/(1+$C$7)^I56</f>
        <v>275.20280910058062</v>
      </c>
      <c r="J59" s="28">
        <f t="shared" ref="J59" ca="1" si="16">J58/(1+$C$7)^J56</f>
        <v>264.51735553063048</v>
      </c>
      <c r="K59" s="28">
        <f t="shared" ref="K59" ca="1" si="17">K58/(1+$C$7)^K56</f>
        <v>254.24679204980657</v>
      </c>
      <c r="L59" s="28">
        <f t="shared" ref="L59" ca="1" si="18">L58/(1+$C$7)^L56</f>
        <v>244.37500948829913</v>
      </c>
      <c r="M59" s="28">
        <f t="shared" ref="M59" ca="1" si="19">M58/(1+$C$7)^M56</f>
        <v>232.56091500599462</v>
      </c>
      <c r="N59" s="28">
        <f t="shared" ref="N59" ca="1" si="20">N58/(1+$C$7)^N56</f>
        <v>221.31796251046313</v>
      </c>
      <c r="O59" s="23"/>
    </row>
    <row r="61" spans="1:15" x14ac:dyDescent="0.3">
      <c r="B61" s="12" t="s">
        <v>171</v>
      </c>
      <c r="C61" s="24">
        <f ca="1">SUM(E59:I59)</f>
        <v>1461.6619239021745</v>
      </c>
    </row>
    <row r="62" spans="1:15" x14ac:dyDescent="0.3">
      <c r="B62" s="12" t="s">
        <v>172</v>
      </c>
      <c r="C62" s="25">
        <f ca="1">SUM(J59:N59)</f>
        <v>1217.0180345851941</v>
      </c>
    </row>
    <row r="63" spans="1:15" x14ac:dyDescent="0.3">
      <c r="B63" s="12" t="s">
        <v>173</v>
      </c>
      <c r="C63" s="20">
        <f ca="1">O58/($C$7-O57)/(1+$C$7)^N56</f>
        <v>3063.4407240148844</v>
      </c>
    </row>
    <row r="64" spans="1:15" x14ac:dyDescent="0.3">
      <c r="C64" s="20"/>
    </row>
    <row r="65" spans="1:4" x14ac:dyDescent="0.3">
      <c r="B65" s="12" t="s">
        <v>174</v>
      </c>
      <c r="C65" s="30">
        <f ca="1">SUM(C61:C63)</f>
        <v>5742.1206825022527</v>
      </c>
    </row>
    <row r="67" spans="1:4" x14ac:dyDescent="0.3">
      <c r="B67" s="31" t="s">
        <v>177</v>
      </c>
      <c r="C67" s="32">
        <f ca="1">C65-$D$35</f>
        <v>5637.880682502253</v>
      </c>
      <c r="D67" s="12" t="s">
        <v>175</v>
      </c>
    </row>
    <row r="68" spans="1:4" ht="14.5" thickBot="1" x14ac:dyDescent="0.35">
      <c r="B68" s="31"/>
      <c r="C68" s="34">
        <f ca="1">C67/$C$8</f>
        <v>37.585871216681689</v>
      </c>
      <c r="D68" s="12" t="s">
        <v>176</v>
      </c>
    </row>
    <row r="69" spans="1:4" ht="14.5" thickTop="1" x14ac:dyDescent="0.3">
      <c r="C69" s="33"/>
    </row>
    <row r="71" spans="1:4" x14ac:dyDescent="0.3">
      <c r="A71" s="19" t="s">
        <v>185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Set">
                <anchor moveWithCells="1" sizeWithCells="1">
                  <from>
                    <xdr:col>3</xdr:col>
                    <xdr:colOff>635000</xdr:colOff>
                    <xdr:row>0</xdr:row>
                    <xdr:rowOff>165100</xdr:rowOff>
                  </from>
                  <to>
                    <xdr:col>6</xdr:col>
                    <xdr:colOff>349250</xdr:colOff>
                    <xdr:row>3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0:C256"/>
  <sheetViews>
    <sheetView workbookViewId="0">
      <selection activeCell="B61" sqref="B61"/>
    </sheetView>
  </sheetViews>
  <sheetFormatPr defaultRowHeight="14" x14ac:dyDescent="0.3"/>
  <cols>
    <col min="1" max="1" width="12.58203125" style="1" bestFit="1" customWidth="1"/>
    <col min="2" max="2" width="72.5" style="1" customWidth="1"/>
    <col min="3" max="3" width="7.4140625" style="1" customWidth="1"/>
    <col min="4" max="16384" width="8.6640625" style="1"/>
  </cols>
  <sheetData>
    <row r="10" spans="1:3" x14ac:dyDescent="0.3">
      <c r="A10" s="2" t="s">
        <v>3</v>
      </c>
      <c r="B10" s="3" t="s">
        <v>4</v>
      </c>
    </row>
    <row r="11" spans="1:3" x14ac:dyDescent="0.3">
      <c r="A11" s="2" t="s">
        <v>5</v>
      </c>
      <c r="B11" s="3" t="s">
        <v>6</v>
      </c>
    </row>
    <row r="13" spans="1:3" x14ac:dyDescent="0.3">
      <c r="A13" s="2" t="s">
        <v>7</v>
      </c>
      <c r="B13" s="3" t="s">
        <v>8</v>
      </c>
    </row>
    <row r="14" spans="1:3" x14ac:dyDescent="0.3">
      <c r="A14" s="4"/>
      <c r="B14" s="5" t="s">
        <v>9</v>
      </c>
    </row>
    <row r="16" spans="1:3" x14ac:dyDescent="0.3">
      <c r="A16" s="8" t="s">
        <v>10</v>
      </c>
      <c r="B16" s="9"/>
      <c r="C16" s="9"/>
    </row>
    <row r="17" spans="1:3" ht="14" customHeight="1" x14ac:dyDescent="0.3">
      <c r="A17" s="3"/>
      <c r="B17" s="10" t="s">
        <v>11</v>
      </c>
      <c r="C17" s="10"/>
    </row>
    <row r="18" spans="1:3" x14ac:dyDescent="0.3">
      <c r="A18" s="3"/>
      <c r="B18" s="4" t="s">
        <v>12</v>
      </c>
      <c r="C18" s="6">
        <v>78.39</v>
      </c>
    </row>
    <row r="19" spans="1:3" x14ac:dyDescent="0.3">
      <c r="A19" s="3"/>
      <c r="B19" s="4" t="s">
        <v>13</v>
      </c>
      <c r="C19" s="6">
        <v>66.430000000000007</v>
      </c>
    </row>
    <row r="20" spans="1:3" x14ac:dyDescent="0.3">
      <c r="A20" s="3"/>
      <c r="B20" s="4" t="s">
        <v>14</v>
      </c>
      <c r="C20" s="6">
        <v>504.87</v>
      </c>
    </row>
    <row r="21" spans="1:3" x14ac:dyDescent="0.3">
      <c r="A21" s="3"/>
      <c r="B21" s="4" t="s">
        <v>15</v>
      </c>
      <c r="C21" s="6">
        <v>295.22000000000003</v>
      </c>
    </row>
    <row r="22" spans="1:3" x14ac:dyDescent="0.3">
      <c r="A22" s="3"/>
      <c r="B22" s="4" t="s">
        <v>16</v>
      </c>
      <c r="C22" s="6">
        <v>300.70999999999998</v>
      </c>
    </row>
    <row r="23" spans="1:3" x14ac:dyDescent="0.3">
      <c r="A23" s="3"/>
      <c r="B23" s="4" t="s">
        <v>17</v>
      </c>
      <c r="C23" s="6">
        <v>5.5</v>
      </c>
    </row>
    <row r="24" spans="1:3" x14ac:dyDescent="0.3">
      <c r="A24" s="3"/>
      <c r="B24" s="4" t="s">
        <v>18</v>
      </c>
      <c r="C24" s="6">
        <v>239.67</v>
      </c>
    </row>
    <row r="25" spans="1:3" x14ac:dyDescent="0.3">
      <c r="A25" s="3"/>
      <c r="B25" s="4" t="s">
        <v>19</v>
      </c>
      <c r="C25" s="6">
        <v>30.5</v>
      </c>
    </row>
    <row r="26" spans="1:3" x14ac:dyDescent="0.3">
      <c r="A26" s="3"/>
      <c r="B26" s="4" t="s">
        <v>20</v>
      </c>
      <c r="C26" s="6">
        <v>10.34</v>
      </c>
    </row>
    <row r="27" spans="1:3" x14ac:dyDescent="0.3">
      <c r="A27" s="3"/>
      <c r="B27" s="4" t="s">
        <v>21</v>
      </c>
      <c r="C27" s="6">
        <v>198.83</v>
      </c>
    </row>
    <row r="28" spans="1:3" x14ac:dyDescent="0.3">
      <c r="A28" s="3"/>
      <c r="B28" s="4" t="s">
        <v>22</v>
      </c>
      <c r="C28" s="6">
        <v>20.350000000000001</v>
      </c>
    </row>
    <row r="29" spans="1:3" x14ac:dyDescent="0.3">
      <c r="A29" s="3"/>
      <c r="B29" s="4" t="s">
        <v>23</v>
      </c>
      <c r="C29" s="6">
        <v>20.350000000000001</v>
      </c>
    </row>
    <row r="30" spans="1:3" x14ac:dyDescent="0.3">
      <c r="A30" s="3"/>
      <c r="B30" s="4" t="s">
        <v>24</v>
      </c>
      <c r="C30" s="7">
        <v>1204.93</v>
      </c>
    </row>
    <row r="31" spans="1:3" x14ac:dyDescent="0.3">
      <c r="A31" s="3"/>
      <c r="B31" s="4" t="s">
        <v>25</v>
      </c>
      <c r="C31" s="6">
        <v>473.62</v>
      </c>
    </row>
    <row r="32" spans="1:3" x14ac:dyDescent="0.3">
      <c r="A32" s="3"/>
      <c r="B32" s="4" t="s">
        <v>26</v>
      </c>
      <c r="C32" s="6">
        <v>117.39</v>
      </c>
    </row>
    <row r="33" spans="1:3" x14ac:dyDescent="0.3">
      <c r="A33" s="3"/>
      <c r="B33" s="4" t="s">
        <v>27</v>
      </c>
      <c r="C33" s="6">
        <v>356.23</v>
      </c>
    </row>
    <row r="34" spans="1:3" x14ac:dyDescent="0.3">
      <c r="A34" s="3"/>
      <c r="B34" s="4" t="s">
        <v>28</v>
      </c>
      <c r="C34" s="6">
        <v>116.93</v>
      </c>
    </row>
    <row r="35" spans="1:3" x14ac:dyDescent="0.3">
      <c r="A35" s="3"/>
      <c r="B35" s="4" t="s">
        <v>29</v>
      </c>
      <c r="C35" s="6">
        <v>116.93</v>
      </c>
    </row>
    <row r="36" spans="1:3" x14ac:dyDescent="0.3">
      <c r="A36" s="3"/>
      <c r="B36" s="4" t="s">
        <v>30</v>
      </c>
      <c r="C36" s="6">
        <v>993.67</v>
      </c>
    </row>
    <row r="37" spans="1:3" x14ac:dyDescent="0.3">
      <c r="A37" s="3"/>
      <c r="B37" s="4" t="s">
        <v>31</v>
      </c>
      <c r="C37" s="7">
        <v>1810.2</v>
      </c>
    </row>
    <row r="38" spans="1:3" x14ac:dyDescent="0.3">
      <c r="A38" s="3"/>
      <c r="B38" s="4" t="s">
        <v>32</v>
      </c>
      <c r="C38" s="6">
        <v>197.23</v>
      </c>
    </row>
    <row r="39" spans="1:3" x14ac:dyDescent="0.3">
      <c r="A39" s="3"/>
      <c r="B39" s="4" t="s">
        <v>33</v>
      </c>
      <c r="C39" s="6">
        <v>6.49</v>
      </c>
    </row>
    <row r="40" spans="1:3" x14ac:dyDescent="0.3">
      <c r="A40" s="3"/>
      <c r="B40" s="4" t="s">
        <v>34</v>
      </c>
      <c r="C40" s="7">
        <v>1020.26</v>
      </c>
    </row>
    <row r="41" spans="1:3" x14ac:dyDescent="0.3">
      <c r="A41" s="3"/>
      <c r="B41" s="4" t="s">
        <v>35</v>
      </c>
      <c r="C41" s="6">
        <v>0.02</v>
      </c>
    </row>
    <row r="42" spans="1:3" x14ac:dyDescent="0.3">
      <c r="A42" s="3"/>
      <c r="B42" s="4" t="s">
        <v>36</v>
      </c>
      <c r="C42" s="6">
        <v>0.02</v>
      </c>
    </row>
    <row r="43" spans="1:3" x14ac:dyDescent="0.3">
      <c r="A43" s="3"/>
      <c r="B43" s="4" t="s">
        <v>37</v>
      </c>
      <c r="C43" s="6">
        <v>4.5</v>
      </c>
    </row>
    <row r="44" spans="1:3" x14ac:dyDescent="0.3">
      <c r="A44" s="3"/>
      <c r="B44" s="4" t="s">
        <v>38</v>
      </c>
      <c r="C44" s="6">
        <v>4.5</v>
      </c>
    </row>
    <row r="45" spans="1:3" x14ac:dyDescent="0.3">
      <c r="A45" s="3"/>
      <c r="B45" s="4" t="s">
        <v>39</v>
      </c>
      <c r="C45" s="7">
        <v>1588.74</v>
      </c>
    </row>
    <row r="46" spans="1:3" x14ac:dyDescent="0.3">
      <c r="A46" s="3"/>
      <c r="B46" s="4" t="s">
        <v>40</v>
      </c>
      <c r="C46" s="7">
        <v>2793.68</v>
      </c>
    </row>
    <row r="47" spans="1:3" ht="14" customHeight="1" x14ac:dyDescent="0.3">
      <c r="A47" s="3"/>
      <c r="B47" s="10" t="s">
        <v>41</v>
      </c>
      <c r="C47" s="10"/>
    </row>
    <row r="48" spans="1:3" x14ac:dyDescent="0.3">
      <c r="A48" s="3"/>
      <c r="B48" s="4" t="s">
        <v>42</v>
      </c>
      <c r="C48" s="6">
        <v>17.899999999999999</v>
      </c>
    </row>
    <row r="49" spans="1:3" x14ac:dyDescent="0.3">
      <c r="A49" s="3"/>
      <c r="B49" s="4" t="s">
        <v>43</v>
      </c>
      <c r="C49" s="6">
        <v>183.18</v>
      </c>
    </row>
    <row r="50" spans="1:3" x14ac:dyDescent="0.3">
      <c r="A50" s="3"/>
      <c r="B50" s="4" t="s">
        <v>16</v>
      </c>
      <c r="C50" s="6">
        <v>183.18</v>
      </c>
    </row>
    <row r="51" spans="1:3" x14ac:dyDescent="0.3">
      <c r="A51" s="3"/>
      <c r="B51" s="4" t="s">
        <v>44</v>
      </c>
      <c r="C51" s="6">
        <v>7.04</v>
      </c>
    </row>
    <row r="52" spans="1:3" x14ac:dyDescent="0.3">
      <c r="A52" s="3"/>
      <c r="B52" s="4" t="s">
        <v>45</v>
      </c>
      <c r="C52" s="6">
        <v>2.69</v>
      </c>
    </row>
    <row r="53" spans="1:3" x14ac:dyDescent="0.3">
      <c r="A53" s="3"/>
      <c r="B53" s="4" t="s">
        <v>46</v>
      </c>
      <c r="C53" s="6">
        <v>4.3600000000000003</v>
      </c>
    </row>
    <row r="54" spans="1:3" x14ac:dyDescent="0.3">
      <c r="A54" s="3"/>
      <c r="B54" s="4" t="s">
        <v>47</v>
      </c>
      <c r="C54" s="6">
        <v>208.12</v>
      </c>
    </row>
    <row r="55" spans="1:3" x14ac:dyDescent="0.3">
      <c r="A55" s="3"/>
      <c r="B55" s="4" t="s">
        <v>48</v>
      </c>
      <c r="C55" s="6">
        <v>6</v>
      </c>
    </row>
    <row r="56" spans="1:3" x14ac:dyDescent="0.3">
      <c r="A56" s="3"/>
      <c r="B56" s="4" t="s">
        <v>49</v>
      </c>
      <c r="C56" s="6">
        <v>6</v>
      </c>
    </row>
    <row r="57" spans="1:3" x14ac:dyDescent="0.3">
      <c r="A57" s="3"/>
      <c r="B57" s="4" t="s">
        <v>50</v>
      </c>
      <c r="C57" s="6">
        <v>15.37</v>
      </c>
    </row>
    <row r="58" spans="1:3" x14ac:dyDescent="0.3">
      <c r="A58" s="3"/>
      <c r="B58" s="4" t="s">
        <v>51</v>
      </c>
      <c r="C58" s="6">
        <v>65.010000000000005</v>
      </c>
    </row>
    <row r="59" spans="1:3" x14ac:dyDescent="0.3">
      <c r="A59" s="3"/>
      <c r="B59" s="4" t="s">
        <v>52</v>
      </c>
      <c r="C59" s="6">
        <v>17.86</v>
      </c>
    </row>
    <row r="60" spans="1:3" x14ac:dyDescent="0.3">
      <c r="A60" s="3"/>
      <c r="B60" s="4" t="s">
        <v>53</v>
      </c>
      <c r="C60" s="6">
        <v>17.86</v>
      </c>
    </row>
    <row r="61" spans="1:3" x14ac:dyDescent="0.3">
      <c r="A61" s="3"/>
      <c r="B61" s="4" t="s">
        <v>54</v>
      </c>
      <c r="C61" s="6">
        <v>104.24</v>
      </c>
    </row>
    <row r="62" spans="1:3" x14ac:dyDescent="0.3">
      <c r="A62" s="3"/>
      <c r="B62" s="4" t="s">
        <v>55</v>
      </c>
      <c r="C62" s="6">
        <v>312.36</v>
      </c>
    </row>
    <row r="63" spans="1:3" ht="14" customHeight="1" x14ac:dyDescent="0.3">
      <c r="A63" s="3"/>
      <c r="B63" s="10" t="s">
        <v>56</v>
      </c>
      <c r="C63" s="10"/>
    </row>
    <row r="64" spans="1:3" x14ac:dyDescent="0.3">
      <c r="A64" s="3"/>
      <c r="B64" s="4" t="s">
        <v>57</v>
      </c>
      <c r="C64" s="6">
        <v>150</v>
      </c>
    </row>
    <row r="65" spans="1:3" x14ac:dyDescent="0.3">
      <c r="A65" s="3"/>
      <c r="B65" s="4" t="s">
        <v>58</v>
      </c>
      <c r="C65" s="6">
        <v>150</v>
      </c>
    </row>
    <row r="66" spans="1:3" x14ac:dyDescent="0.3">
      <c r="A66" s="3"/>
      <c r="B66" s="4" t="s">
        <v>59</v>
      </c>
      <c r="C66" s="6">
        <v>150</v>
      </c>
    </row>
    <row r="67" spans="1:3" x14ac:dyDescent="0.3">
      <c r="A67" s="3"/>
      <c r="B67" s="4" t="s">
        <v>58</v>
      </c>
      <c r="C67" s="6">
        <v>150</v>
      </c>
    </row>
    <row r="68" spans="1:3" x14ac:dyDescent="0.3">
      <c r="A68" s="3"/>
      <c r="B68" s="4" t="s">
        <v>60</v>
      </c>
      <c r="C68" s="6">
        <v>340</v>
      </c>
    </row>
    <row r="69" spans="1:3" x14ac:dyDescent="0.3">
      <c r="A69" s="3"/>
      <c r="B69" s="4" t="s">
        <v>58</v>
      </c>
      <c r="C69" s="6">
        <v>340</v>
      </c>
    </row>
    <row r="70" spans="1:3" x14ac:dyDescent="0.3">
      <c r="A70" s="3"/>
      <c r="B70" s="4" t="s">
        <v>61</v>
      </c>
      <c r="C70" s="7">
        <v>1617.65</v>
      </c>
    </row>
    <row r="71" spans="1:3" x14ac:dyDescent="0.3">
      <c r="A71" s="3"/>
      <c r="B71" s="4" t="s">
        <v>62</v>
      </c>
      <c r="C71" s="6">
        <v>15</v>
      </c>
    </row>
    <row r="72" spans="1:3" x14ac:dyDescent="0.3">
      <c r="A72" s="3"/>
      <c r="B72" s="4" t="s">
        <v>63</v>
      </c>
      <c r="C72" s="6">
        <v>15</v>
      </c>
    </row>
    <row r="73" spans="1:3" x14ac:dyDescent="0.3">
      <c r="A73" s="3"/>
      <c r="B73" s="4" t="s">
        <v>64</v>
      </c>
      <c r="C73" s="7">
        <v>1602.65</v>
      </c>
    </row>
    <row r="74" spans="1:3" x14ac:dyDescent="0.3">
      <c r="A74" s="3"/>
      <c r="B74" s="4" t="s">
        <v>65</v>
      </c>
      <c r="C74" s="6">
        <v>173.08</v>
      </c>
    </row>
    <row r="75" spans="1:3" x14ac:dyDescent="0.3">
      <c r="A75" s="3"/>
      <c r="B75" s="4" t="s">
        <v>66</v>
      </c>
      <c r="C75" s="6">
        <v>173.08</v>
      </c>
    </row>
    <row r="76" spans="1:3" x14ac:dyDescent="0.3">
      <c r="A76" s="3"/>
      <c r="B76" s="4" t="s">
        <v>67</v>
      </c>
      <c r="C76" s="6">
        <v>134.29</v>
      </c>
    </row>
    <row r="77" spans="1:3" x14ac:dyDescent="0.3">
      <c r="A77" s="3"/>
      <c r="B77" s="4" t="s">
        <v>68</v>
      </c>
      <c r="C77" s="6">
        <v>38.79</v>
      </c>
    </row>
    <row r="78" spans="1:3" x14ac:dyDescent="0.3">
      <c r="A78" s="3"/>
      <c r="B78" s="4" t="s">
        <v>69</v>
      </c>
      <c r="C78" s="7">
        <v>2280.73</v>
      </c>
    </row>
    <row r="79" spans="1:3" x14ac:dyDescent="0.3">
      <c r="A79" s="3"/>
      <c r="B79" s="4" t="s">
        <v>70</v>
      </c>
      <c r="C79" s="6">
        <v>200.58</v>
      </c>
    </row>
    <row r="80" spans="1:3" x14ac:dyDescent="0.3">
      <c r="A80" s="3"/>
      <c r="B80" s="4" t="s">
        <v>71</v>
      </c>
      <c r="C80" s="7">
        <v>2481.31</v>
      </c>
    </row>
    <row r="100" spans="1:3" x14ac:dyDescent="0.3">
      <c r="A100" s="2" t="s">
        <v>3</v>
      </c>
      <c r="B100" s="3" t="s">
        <v>4</v>
      </c>
    </row>
    <row r="101" spans="1:3" x14ac:dyDescent="0.3">
      <c r="A101" s="2" t="s">
        <v>5</v>
      </c>
      <c r="B101" s="3" t="s">
        <v>6</v>
      </c>
    </row>
    <row r="103" spans="1:3" x14ac:dyDescent="0.3">
      <c r="A103" s="2" t="s">
        <v>7</v>
      </c>
      <c r="B103" s="3" t="s">
        <v>8</v>
      </c>
    </row>
    <row r="104" spans="1:3" x14ac:dyDescent="0.3">
      <c r="A104" s="4"/>
      <c r="B104" s="5" t="s">
        <v>9</v>
      </c>
    </row>
    <row r="106" spans="1:3" x14ac:dyDescent="0.3">
      <c r="A106" s="8" t="s">
        <v>10</v>
      </c>
      <c r="B106" s="9"/>
      <c r="C106" s="9"/>
    </row>
    <row r="107" spans="1:3" ht="14" customHeight="1" x14ac:dyDescent="0.3">
      <c r="A107" s="3"/>
      <c r="B107" s="10" t="s">
        <v>121</v>
      </c>
      <c r="C107" s="10"/>
    </row>
    <row r="108" spans="1:3" x14ac:dyDescent="0.3">
      <c r="A108" s="3"/>
      <c r="B108" s="4" t="s">
        <v>122</v>
      </c>
      <c r="C108" s="7">
        <v>1460.07</v>
      </c>
    </row>
    <row r="109" spans="1:3" x14ac:dyDescent="0.3">
      <c r="A109" s="3"/>
      <c r="B109" s="4" t="s">
        <v>123</v>
      </c>
      <c r="C109" s="7">
        <v>1415.24</v>
      </c>
    </row>
    <row r="110" spans="1:3" x14ac:dyDescent="0.3">
      <c r="A110" s="3"/>
      <c r="B110" s="4" t="s">
        <v>124</v>
      </c>
      <c r="C110" s="6">
        <v>44.83</v>
      </c>
    </row>
    <row r="111" spans="1:3" x14ac:dyDescent="0.3">
      <c r="A111" s="3"/>
      <c r="B111" s="4" t="s">
        <v>125</v>
      </c>
      <c r="C111" s="6">
        <v>23.52</v>
      </c>
    </row>
    <row r="112" spans="1:3" x14ac:dyDescent="0.3">
      <c r="A112" s="3"/>
      <c r="B112" s="4" t="s">
        <v>126</v>
      </c>
      <c r="C112" s="6">
        <v>10.96</v>
      </c>
    </row>
    <row r="113" spans="1:3" x14ac:dyDescent="0.3">
      <c r="A113" s="3"/>
      <c r="B113" s="4" t="s">
        <v>127</v>
      </c>
      <c r="C113" s="6">
        <v>4.45</v>
      </c>
    </row>
    <row r="114" spans="1:3" x14ac:dyDescent="0.3">
      <c r="A114" s="3"/>
      <c r="B114" s="4" t="s">
        <v>128</v>
      </c>
      <c r="C114" s="6">
        <v>5.28</v>
      </c>
    </row>
    <row r="115" spans="1:3" x14ac:dyDescent="0.3">
      <c r="A115" s="3"/>
      <c r="B115" s="4" t="s">
        <v>129</v>
      </c>
      <c r="C115" s="6">
        <v>0.54</v>
      </c>
    </row>
    <row r="116" spans="1:3" x14ac:dyDescent="0.3">
      <c r="A116" s="3"/>
      <c r="B116" s="4" t="s">
        <v>130</v>
      </c>
      <c r="C116" s="6">
        <v>2.29</v>
      </c>
    </row>
    <row r="117" spans="1:3" x14ac:dyDescent="0.3">
      <c r="A117" s="3"/>
      <c r="B117" s="4" t="s">
        <v>131</v>
      </c>
      <c r="C117" s="7">
        <v>1483.58</v>
      </c>
    </row>
    <row r="118" spans="1:3" x14ac:dyDescent="0.3">
      <c r="A118" s="3"/>
      <c r="B118" s="4" t="s">
        <v>132</v>
      </c>
      <c r="C118" s="7">
        <v>1090.24</v>
      </c>
    </row>
    <row r="119" spans="1:3" x14ac:dyDescent="0.3">
      <c r="A119" s="3"/>
      <c r="B119" s="4" t="s">
        <v>133</v>
      </c>
      <c r="C119" s="7">
        <v>1076.24</v>
      </c>
    </row>
    <row r="120" spans="1:3" x14ac:dyDescent="0.3">
      <c r="A120" s="3"/>
      <c r="B120" s="4" t="s">
        <v>134</v>
      </c>
      <c r="C120" s="6">
        <v>14</v>
      </c>
    </row>
    <row r="121" spans="1:3" x14ac:dyDescent="0.3">
      <c r="A121" s="3"/>
      <c r="B121" s="4" t="s">
        <v>135</v>
      </c>
      <c r="C121" s="6">
        <v>97.96</v>
      </c>
    </row>
    <row r="122" spans="1:3" x14ac:dyDescent="0.3">
      <c r="A122" s="3"/>
      <c r="B122" s="4" t="s">
        <v>136</v>
      </c>
      <c r="C122" s="6">
        <v>63.16</v>
      </c>
    </row>
    <row r="123" spans="1:3" x14ac:dyDescent="0.3">
      <c r="A123" s="3"/>
      <c r="B123" s="4" t="s">
        <v>137</v>
      </c>
      <c r="C123" s="6">
        <v>34.79</v>
      </c>
    </row>
    <row r="124" spans="1:3" x14ac:dyDescent="0.3">
      <c r="A124" s="3"/>
      <c r="B124" s="4" t="s">
        <v>138</v>
      </c>
      <c r="C124" s="6">
        <v>25.06</v>
      </c>
    </row>
    <row r="125" spans="1:3" x14ac:dyDescent="0.3">
      <c r="A125" s="3"/>
      <c r="B125" s="4" t="s">
        <v>139</v>
      </c>
      <c r="C125" s="6">
        <v>10.81</v>
      </c>
    </row>
    <row r="126" spans="1:3" x14ac:dyDescent="0.3">
      <c r="A126" s="3"/>
      <c r="B126" s="4" t="s">
        <v>140</v>
      </c>
      <c r="C126" s="6">
        <v>14.25</v>
      </c>
    </row>
    <row r="127" spans="1:3" x14ac:dyDescent="0.3">
      <c r="A127" s="3"/>
      <c r="B127" s="4" t="s">
        <v>141</v>
      </c>
      <c r="C127" s="7">
        <v>1213.25</v>
      </c>
    </row>
    <row r="128" spans="1:3" x14ac:dyDescent="0.3">
      <c r="A128" s="3"/>
      <c r="B128" s="4" t="s">
        <v>142</v>
      </c>
      <c r="C128" s="6">
        <v>270.33999999999997</v>
      </c>
    </row>
    <row r="129" spans="1:3" x14ac:dyDescent="0.3">
      <c r="A129" s="3"/>
      <c r="B129" s="4" t="s">
        <v>81</v>
      </c>
      <c r="C129" s="6">
        <v>1.51</v>
      </c>
    </row>
    <row r="130" spans="1:3" x14ac:dyDescent="0.3">
      <c r="A130" s="3"/>
      <c r="B130" s="4" t="s">
        <v>143</v>
      </c>
      <c r="C130" s="6">
        <v>11.67</v>
      </c>
    </row>
    <row r="131" spans="1:3" x14ac:dyDescent="0.3">
      <c r="A131" s="3"/>
      <c r="B131" s="4" t="s">
        <v>144</v>
      </c>
      <c r="C131" s="6">
        <v>257.14999999999998</v>
      </c>
    </row>
    <row r="132" spans="1:3" x14ac:dyDescent="0.3">
      <c r="A132" s="3"/>
      <c r="B132" s="4" t="s">
        <v>145</v>
      </c>
      <c r="C132" s="6">
        <v>246.98</v>
      </c>
    </row>
    <row r="133" spans="1:3" x14ac:dyDescent="0.3">
      <c r="A133" s="3"/>
      <c r="B133" s="4" t="s">
        <v>146</v>
      </c>
      <c r="C133" s="6">
        <v>10.17</v>
      </c>
    </row>
    <row r="134" spans="1:3" x14ac:dyDescent="0.3">
      <c r="A134" s="3"/>
      <c r="B134" s="4" t="s">
        <v>147</v>
      </c>
      <c r="C134" s="6">
        <v>1.65</v>
      </c>
    </row>
    <row r="135" spans="1:3" x14ac:dyDescent="0.3">
      <c r="A135" s="3"/>
      <c r="B135" s="4" t="s">
        <v>148</v>
      </c>
      <c r="C135" s="6">
        <v>1.65</v>
      </c>
    </row>
    <row r="136" spans="1:3" ht="14" customHeight="1" x14ac:dyDescent="0.3">
      <c r="A136" s="3"/>
      <c r="B136" s="10" t="s">
        <v>149</v>
      </c>
      <c r="C136" s="10"/>
    </row>
    <row r="137" spans="1:3" x14ac:dyDescent="0.3">
      <c r="A137" s="3"/>
      <c r="B137" s="4" t="s">
        <v>150</v>
      </c>
      <c r="C137" s="6">
        <v>257.14999999999998</v>
      </c>
    </row>
    <row r="138" spans="1:3" x14ac:dyDescent="0.3">
      <c r="A138" s="3"/>
      <c r="B138" s="4" t="s">
        <v>151</v>
      </c>
      <c r="C138" s="6">
        <v>19.53</v>
      </c>
    </row>
    <row r="139" spans="1:3" x14ac:dyDescent="0.3">
      <c r="A139" s="3"/>
      <c r="B139" s="4" t="s">
        <v>152</v>
      </c>
      <c r="C139" s="6">
        <v>-3.91</v>
      </c>
    </row>
    <row r="140" spans="1:3" x14ac:dyDescent="0.3">
      <c r="A140" s="3"/>
      <c r="B140" s="4" t="s">
        <v>153</v>
      </c>
      <c r="C140" s="6">
        <v>272.77999999999997</v>
      </c>
    </row>
    <row r="141" spans="1:3" x14ac:dyDescent="0.3">
      <c r="A141" s="3"/>
      <c r="B141" s="4" t="s">
        <v>154</v>
      </c>
      <c r="C141" s="6">
        <v>262.61</v>
      </c>
    </row>
    <row r="142" spans="1:3" x14ac:dyDescent="0.3">
      <c r="A142" s="3"/>
      <c r="B142" s="4" t="s">
        <v>155</v>
      </c>
      <c r="C142" s="6">
        <v>10.17</v>
      </c>
    </row>
    <row r="200" spans="1:3" x14ac:dyDescent="0.3">
      <c r="A200" s="2" t="s">
        <v>3</v>
      </c>
      <c r="B200" s="3" t="s">
        <v>4</v>
      </c>
    </row>
    <row r="201" spans="1:3" x14ac:dyDescent="0.3">
      <c r="A201" s="2" t="s">
        <v>5</v>
      </c>
      <c r="B201" s="3" t="s">
        <v>6</v>
      </c>
    </row>
    <row r="203" spans="1:3" x14ac:dyDescent="0.3">
      <c r="A203" s="2" t="s">
        <v>7</v>
      </c>
      <c r="B203" s="3" t="s">
        <v>8</v>
      </c>
    </row>
    <row r="204" spans="1:3" x14ac:dyDescent="0.3">
      <c r="A204" s="4"/>
      <c r="B204" s="5" t="s">
        <v>9</v>
      </c>
    </row>
    <row r="206" spans="1:3" x14ac:dyDescent="0.3">
      <c r="A206" s="8" t="s">
        <v>10</v>
      </c>
      <c r="B206" s="9"/>
      <c r="C206" s="9"/>
    </row>
    <row r="207" spans="1:3" ht="14" customHeight="1" x14ac:dyDescent="0.3">
      <c r="A207" s="3"/>
      <c r="B207" s="10" t="s">
        <v>72</v>
      </c>
      <c r="C207" s="10"/>
    </row>
    <row r="208" spans="1:3" x14ac:dyDescent="0.3">
      <c r="A208" s="3"/>
      <c r="B208" s="4" t="s">
        <v>73</v>
      </c>
      <c r="C208" s="6">
        <v>268.82</v>
      </c>
    </row>
    <row r="209" spans="1:3" x14ac:dyDescent="0.3">
      <c r="A209" s="3"/>
      <c r="B209" s="4" t="s">
        <v>74</v>
      </c>
      <c r="C209" s="6">
        <v>82.14</v>
      </c>
    </row>
    <row r="210" spans="1:3" x14ac:dyDescent="0.3">
      <c r="A210" s="3"/>
      <c r="B210" s="4" t="s">
        <v>75</v>
      </c>
      <c r="C210" s="6">
        <v>82.14</v>
      </c>
    </row>
    <row r="211" spans="1:3" x14ac:dyDescent="0.3">
      <c r="A211" s="3"/>
      <c r="B211" s="4" t="s">
        <v>76</v>
      </c>
      <c r="C211" s="6">
        <v>-0.01</v>
      </c>
    </row>
    <row r="212" spans="1:3" x14ac:dyDescent="0.3">
      <c r="A212" s="3"/>
      <c r="B212" s="4" t="s">
        <v>77</v>
      </c>
      <c r="C212" s="6">
        <v>-0.4</v>
      </c>
    </row>
    <row r="213" spans="1:3" x14ac:dyDescent="0.3">
      <c r="A213" s="3"/>
      <c r="B213" s="4" t="s">
        <v>78</v>
      </c>
      <c r="C213" s="6">
        <v>-0.54</v>
      </c>
    </row>
    <row r="214" spans="1:3" x14ac:dyDescent="0.3">
      <c r="A214" s="3"/>
      <c r="B214" s="4" t="s">
        <v>79</v>
      </c>
      <c r="C214" s="6">
        <v>-4.88</v>
      </c>
    </row>
    <row r="215" spans="1:3" x14ac:dyDescent="0.3">
      <c r="A215" s="3"/>
      <c r="B215" s="4" t="s">
        <v>80</v>
      </c>
      <c r="C215" s="6">
        <v>0.01</v>
      </c>
    </row>
    <row r="216" spans="1:3" x14ac:dyDescent="0.3">
      <c r="A216" s="3"/>
      <c r="B216" s="4" t="s">
        <v>81</v>
      </c>
      <c r="C216" s="6">
        <v>1.51</v>
      </c>
    </row>
    <row r="217" spans="1:3" x14ac:dyDescent="0.3">
      <c r="A217" s="3"/>
      <c r="B217" s="4" t="s">
        <v>82</v>
      </c>
      <c r="C217" s="6">
        <v>1.1200000000000001</v>
      </c>
    </row>
    <row r="218" spans="1:3" x14ac:dyDescent="0.3">
      <c r="A218" s="3"/>
      <c r="B218" s="4" t="s">
        <v>83</v>
      </c>
      <c r="C218" s="6">
        <v>347.77</v>
      </c>
    </row>
    <row r="219" spans="1:3" x14ac:dyDescent="0.3">
      <c r="A219" s="3"/>
      <c r="B219" s="4" t="s">
        <v>84</v>
      </c>
      <c r="C219" s="6">
        <v>-46.89</v>
      </c>
    </row>
    <row r="220" spans="1:3" x14ac:dyDescent="0.3">
      <c r="A220" s="3"/>
      <c r="B220" s="4" t="s">
        <v>85</v>
      </c>
      <c r="C220" s="6">
        <v>-4.1100000000000003</v>
      </c>
    </row>
    <row r="221" spans="1:3" x14ac:dyDescent="0.3">
      <c r="A221" s="3"/>
      <c r="B221" s="4" t="s">
        <v>86</v>
      </c>
      <c r="C221" s="6">
        <v>-46.74</v>
      </c>
    </row>
    <row r="222" spans="1:3" x14ac:dyDescent="0.3">
      <c r="A222" s="3"/>
      <c r="B222" s="4" t="s">
        <v>87</v>
      </c>
      <c r="C222" s="6">
        <v>3.94</v>
      </c>
    </row>
    <row r="223" spans="1:3" x14ac:dyDescent="0.3">
      <c r="A223" s="3"/>
      <c r="B223" s="4" t="s">
        <v>88</v>
      </c>
      <c r="C223" s="6">
        <v>0.01</v>
      </c>
    </row>
    <row r="224" spans="1:3" x14ac:dyDescent="0.3">
      <c r="A224" s="3"/>
      <c r="B224" s="4" t="s">
        <v>89</v>
      </c>
      <c r="C224" s="6">
        <v>47.66</v>
      </c>
    </row>
    <row r="225" spans="1:3" x14ac:dyDescent="0.3">
      <c r="A225" s="3"/>
      <c r="B225" s="4" t="s">
        <v>90</v>
      </c>
      <c r="C225" s="6">
        <v>50.6</v>
      </c>
    </row>
    <row r="226" spans="1:3" x14ac:dyDescent="0.3">
      <c r="A226" s="3"/>
      <c r="B226" s="4" t="s">
        <v>91</v>
      </c>
      <c r="C226" s="6">
        <v>-2.0299999999999998</v>
      </c>
    </row>
    <row r="227" spans="1:3" x14ac:dyDescent="0.3">
      <c r="A227" s="3"/>
      <c r="B227" s="4" t="s">
        <v>92</v>
      </c>
      <c r="C227" s="6">
        <v>-0.9</v>
      </c>
    </row>
    <row r="228" spans="1:3" x14ac:dyDescent="0.3">
      <c r="A228" s="3"/>
      <c r="B228" s="4" t="s">
        <v>93</v>
      </c>
      <c r="C228" s="6">
        <v>348.54</v>
      </c>
    </row>
    <row r="229" spans="1:3" x14ac:dyDescent="0.3">
      <c r="A229" s="3"/>
      <c r="B229" s="4" t="s">
        <v>94</v>
      </c>
      <c r="C229" s="6">
        <v>-10.96</v>
      </c>
    </row>
    <row r="230" spans="1:3" x14ac:dyDescent="0.3">
      <c r="A230" s="3"/>
      <c r="B230" s="4" t="s">
        <v>95</v>
      </c>
      <c r="C230" s="6">
        <v>-4.45</v>
      </c>
    </row>
    <row r="231" spans="1:3" x14ac:dyDescent="0.3">
      <c r="A231" s="3"/>
      <c r="B231" s="4" t="s">
        <v>96</v>
      </c>
      <c r="C231" s="6">
        <v>-1.53</v>
      </c>
    </row>
    <row r="232" spans="1:3" x14ac:dyDescent="0.3">
      <c r="A232" s="3"/>
      <c r="B232" s="4" t="s">
        <v>97</v>
      </c>
      <c r="C232" s="6">
        <v>-9.19</v>
      </c>
    </row>
    <row r="233" spans="1:3" x14ac:dyDescent="0.3">
      <c r="A233" s="3"/>
      <c r="B233" s="4" t="s">
        <v>98</v>
      </c>
      <c r="C233" s="6">
        <v>322.41000000000003</v>
      </c>
    </row>
    <row r="234" spans="1:3" x14ac:dyDescent="0.3">
      <c r="A234" s="3"/>
      <c r="B234" s="4" t="s">
        <v>99</v>
      </c>
      <c r="C234" s="6">
        <v>-106.96</v>
      </c>
    </row>
    <row r="235" spans="1:3" x14ac:dyDescent="0.3">
      <c r="A235" s="3"/>
      <c r="B235" s="4" t="s">
        <v>100</v>
      </c>
      <c r="C235" s="6">
        <v>20.12</v>
      </c>
    </row>
    <row r="236" spans="1:3" x14ac:dyDescent="0.3">
      <c r="A236" s="3"/>
      <c r="B236" s="4" t="s">
        <v>101</v>
      </c>
      <c r="C236" s="6">
        <v>-86.22</v>
      </c>
    </row>
    <row r="237" spans="1:3" x14ac:dyDescent="0.3">
      <c r="A237" s="3"/>
      <c r="B237" s="4" t="s">
        <v>102</v>
      </c>
      <c r="C237" s="6">
        <v>106.35</v>
      </c>
    </row>
    <row r="238" spans="1:3" x14ac:dyDescent="0.3">
      <c r="A238" s="3"/>
      <c r="B238" s="4" t="s">
        <v>103</v>
      </c>
      <c r="C238" s="6">
        <v>-14.5</v>
      </c>
    </row>
    <row r="239" spans="1:3" x14ac:dyDescent="0.3">
      <c r="A239" s="3"/>
      <c r="B239" s="4" t="s">
        <v>104</v>
      </c>
      <c r="C239" s="6">
        <v>-14.5</v>
      </c>
    </row>
    <row r="240" spans="1:3" x14ac:dyDescent="0.3">
      <c r="A240" s="3"/>
      <c r="B240" s="4" t="s">
        <v>105</v>
      </c>
      <c r="C240" s="6">
        <v>-56.9</v>
      </c>
    </row>
    <row r="241" spans="1:3" x14ac:dyDescent="0.3">
      <c r="A241" s="3"/>
      <c r="B241" s="4" t="s">
        <v>106</v>
      </c>
      <c r="C241" s="6">
        <v>44.08</v>
      </c>
    </row>
    <row r="242" spans="1:3" x14ac:dyDescent="0.3">
      <c r="A242" s="3"/>
      <c r="B242" s="4" t="s">
        <v>107</v>
      </c>
      <c r="C242" s="6">
        <v>-100.98</v>
      </c>
    </row>
    <row r="243" spans="1:3" x14ac:dyDescent="0.3">
      <c r="A243" s="3"/>
      <c r="B243" s="4" t="s">
        <v>108</v>
      </c>
      <c r="C243" s="6">
        <v>4.45</v>
      </c>
    </row>
    <row r="244" spans="1:3" x14ac:dyDescent="0.3">
      <c r="A244" s="3"/>
      <c r="B244" s="4" t="s">
        <v>109</v>
      </c>
      <c r="C244" s="6">
        <v>14.16</v>
      </c>
    </row>
    <row r="245" spans="1:3" x14ac:dyDescent="0.3">
      <c r="A245" s="3"/>
      <c r="B245" s="4" t="s">
        <v>110</v>
      </c>
      <c r="C245" s="6">
        <v>-4.47</v>
      </c>
    </row>
    <row r="246" spans="1:3" x14ac:dyDescent="0.3">
      <c r="A246" s="3"/>
      <c r="B246" s="4" t="s">
        <v>111</v>
      </c>
      <c r="C246" s="6">
        <v>-144.11000000000001</v>
      </c>
    </row>
    <row r="247" spans="1:3" x14ac:dyDescent="0.3">
      <c r="A247" s="3"/>
      <c r="B247" s="4" t="s">
        <v>112</v>
      </c>
      <c r="C247" s="6">
        <v>17.899999999999999</v>
      </c>
    </row>
    <row r="248" spans="1:3" x14ac:dyDescent="0.3">
      <c r="A248" s="3"/>
      <c r="B248" s="4" t="s">
        <v>113</v>
      </c>
      <c r="C248" s="6">
        <v>-32.270000000000003</v>
      </c>
    </row>
    <row r="249" spans="1:3" x14ac:dyDescent="0.3">
      <c r="A249" s="3"/>
      <c r="B249" s="4" t="s">
        <v>114</v>
      </c>
      <c r="C249" s="6">
        <v>25</v>
      </c>
    </row>
    <row r="250" spans="1:3" x14ac:dyDescent="0.3">
      <c r="A250" s="3"/>
      <c r="B250" s="4" t="s">
        <v>115</v>
      </c>
      <c r="C250" s="6">
        <v>-57.27</v>
      </c>
    </row>
    <row r="251" spans="1:3" x14ac:dyDescent="0.3">
      <c r="A251" s="3"/>
      <c r="B251" s="4" t="s">
        <v>116</v>
      </c>
      <c r="C251" s="6">
        <v>-173.1</v>
      </c>
    </row>
    <row r="252" spans="1:3" x14ac:dyDescent="0.3">
      <c r="A252" s="3"/>
      <c r="B252" s="4" t="s">
        <v>110</v>
      </c>
      <c r="C252" s="6">
        <v>-0.33</v>
      </c>
    </row>
    <row r="253" spans="1:3" x14ac:dyDescent="0.3">
      <c r="A253" s="3"/>
      <c r="B253" s="4" t="s">
        <v>117</v>
      </c>
      <c r="C253" s="6">
        <v>-187.8</v>
      </c>
    </row>
    <row r="254" spans="1:3" x14ac:dyDescent="0.3">
      <c r="A254" s="3"/>
      <c r="B254" s="4" t="s">
        <v>118</v>
      </c>
      <c r="C254" s="6">
        <v>-9.5</v>
      </c>
    </row>
    <row r="255" spans="1:3" x14ac:dyDescent="0.3">
      <c r="A255" s="3"/>
      <c r="B255" s="4" t="s">
        <v>119</v>
      </c>
      <c r="C255" s="6">
        <v>87.89</v>
      </c>
    </row>
    <row r="256" spans="1:3" x14ac:dyDescent="0.3">
      <c r="A256" s="3"/>
      <c r="B256" s="4" t="s">
        <v>120</v>
      </c>
      <c r="C256" s="6">
        <v>78.400000000000006</v>
      </c>
    </row>
  </sheetData>
  <mergeCells count="9">
    <mergeCell ref="A16:C16"/>
    <mergeCell ref="B17:C17"/>
    <mergeCell ref="B47:C47"/>
    <mergeCell ref="B63:C63"/>
    <mergeCell ref="A206:C206"/>
    <mergeCell ref="B207:C207"/>
    <mergeCell ref="A106:C106"/>
    <mergeCell ref="B107:C107"/>
    <mergeCell ref="B136:C136"/>
  </mergeCells>
  <hyperlinks>
    <hyperlink ref="B14" r:id="rId1" display="http://www.set.or.th/dat/news/201611/16085633.zip"/>
    <hyperlink ref="B104" r:id="rId2" display="http://www.set.or.th/dat/news/201611/16085633.zip"/>
    <hyperlink ref="B204" r:id="rId3" display="http://www.set.or.th/dat/news/201611/16085633.zip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value</vt:lpstr>
      <vt:lpstr>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2017-02-11T06:41:17Z</dcterms:created>
  <dcterms:modified xsi:type="dcterms:W3CDTF">2017-02-11T08:35:31Z</dcterms:modified>
</cp:coreProperties>
</file>